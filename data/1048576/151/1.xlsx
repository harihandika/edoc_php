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20" windowHeight="7150"/>
  </bookViews>
  <sheets>
    <sheet name="Sheet1" sheetId="1" r:id="rId1"/>
    <sheet name="Progress" sheetId="6" r:id="rId2"/>
    <sheet name="Sheet2" sheetId="2" state="hidden" r:id="rId3"/>
    <sheet name="Sheet3" sheetId="3" state="hidden" r:id="rId4"/>
    <sheet name="Sheet4" sheetId="4" state="hidden" r:id="rId5"/>
    <sheet name="Sheet5" sheetId="5" state="hidden" r:id="rId6"/>
  </sheets>
  <calcPr calcId="144525"/>
</workbook>
</file>

<file path=xl/sharedStrings.xml><?xml version="1.0" encoding="utf-8"?>
<sst xmlns="http://schemas.openxmlformats.org/spreadsheetml/2006/main" count="439" uniqueCount="229">
  <si>
    <t>email notif isac</t>
  </si>
  <si>
    <t>username</t>
  </si>
  <si>
    <t>isac</t>
  </si>
  <si>
    <t>PT. ACSET Indonusa Tbk.</t>
  </si>
  <si>
    <t>Password</t>
  </si>
  <si>
    <t>Acset2022</t>
  </si>
  <si>
    <t>Timeline EDOC [ IMPROVEMENT FROM LEGAL ]</t>
  </si>
  <si>
    <t>No</t>
  </si>
  <si>
    <t>Description</t>
  </si>
  <si>
    <t>Days</t>
  </si>
  <si>
    <t>Periode</t>
  </si>
  <si>
    <t>% Progress</t>
  </si>
  <si>
    <t>Status</t>
  </si>
  <si>
    <t>Mei</t>
  </si>
  <si>
    <t>Juni</t>
  </si>
  <si>
    <t>Juli</t>
  </si>
  <si>
    <t>Agustus</t>
  </si>
  <si>
    <t>September</t>
  </si>
  <si>
    <t>Oktober</t>
  </si>
  <si>
    <t>Start</t>
  </si>
  <si>
    <t>End</t>
  </si>
  <si>
    <t>W1</t>
  </si>
  <si>
    <t>W2</t>
  </si>
  <si>
    <t>W3</t>
  </si>
  <si>
    <t>W4</t>
  </si>
  <si>
    <t>Phase Gathering Requirement</t>
  </si>
  <si>
    <t>Meeting awal Pembahasan</t>
  </si>
  <si>
    <t>1 Hari</t>
  </si>
  <si>
    <t>17.02.2023</t>
  </si>
  <si>
    <t>Done</t>
  </si>
  <si>
    <t>Guidance Penggunaan</t>
  </si>
  <si>
    <t>Membuat Flow Proses</t>
  </si>
  <si>
    <t>2 Hari</t>
  </si>
  <si>
    <t>01.03.2023</t>
  </si>
  <si>
    <t>03.03.2023</t>
  </si>
  <si>
    <t>Membuat Timeline</t>
  </si>
  <si>
    <t>Membuat Mockup</t>
  </si>
  <si>
    <t>7 Hari</t>
  </si>
  <si>
    <t>02.05.2023</t>
  </si>
  <si>
    <t>12.05.2023</t>
  </si>
  <si>
    <t>Membuat BRD</t>
  </si>
  <si>
    <t>10 Hari</t>
  </si>
  <si>
    <t>Review BRD + Revisi</t>
  </si>
  <si>
    <t>3 Hari</t>
  </si>
  <si>
    <t>15.05.2023</t>
  </si>
  <si>
    <t>17.05.2023</t>
  </si>
  <si>
    <t>Programing Infrastructure</t>
  </si>
  <si>
    <t>Master Data</t>
  </si>
  <si>
    <t>Master Location</t>
  </si>
  <si>
    <t>5 Hari</t>
  </si>
  <si>
    <t>22.05.2023</t>
  </si>
  <si>
    <t>26.05.2023</t>
  </si>
  <si>
    <t>Not Yet</t>
  </si>
  <si>
    <t>Master Data User - Improvement</t>
  </si>
  <si>
    <t>29.05.2023</t>
  </si>
  <si>
    <t>31.05.2023</t>
  </si>
  <si>
    <t>Master Data Rack</t>
  </si>
  <si>
    <t>01.06.2023</t>
  </si>
  <si>
    <t>07.06.2023</t>
  </si>
  <si>
    <t xml:space="preserve">Transaksi </t>
  </si>
  <si>
    <t>Improvement - upload dokumen</t>
  </si>
  <si>
    <t>08.06.2023</t>
  </si>
  <si>
    <t>21.06.2023</t>
  </si>
  <si>
    <t xml:space="preserve">- Ditambahkan informasi lokasi fisik </t>
  </si>
  <si>
    <t>Permintaan Dokumen Softcopy</t>
  </si>
  <si>
    <t>22.06.2023</t>
  </si>
  <si>
    <t>05.07.2023</t>
  </si>
  <si>
    <t>2.1.  Request Dokumen Soft Copy</t>
  </si>
  <si>
    <t>2.2.  Approval Atasan Requestor</t>
  </si>
  <si>
    <t>2.3.  Terima Permintaan</t>
  </si>
  <si>
    <t>2.4.   Kirim Permintaan Dokumen</t>
  </si>
  <si>
    <t>2.5.   Approval Atasan Pengirim</t>
  </si>
  <si>
    <t>Permintaan Dokumen Hardcopy</t>
  </si>
  <si>
    <t>14 Hari</t>
  </si>
  <si>
    <t>06.07.20223</t>
  </si>
  <si>
    <t>25.07.2023</t>
  </si>
  <si>
    <t>3.1.  Request Dokumen Hard Copy</t>
  </si>
  <si>
    <t>3.2.  Approval Atasan Requestor</t>
  </si>
  <si>
    <t>3.3.  Terima Permintaan</t>
  </si>
  <si>
    <t>3.4.  Kirim Permintaan Dokumen</t>
  </si>
  <si>
    <t>3.5.  Approval Atasan Pengirim</t>
  </si>
  <si>
    <t>4.1. Kirim Dokumen ke gudang center</t>
  </si>
  <si>
    <t>26.07.2023</t>
  </si>
  <si>
    <t>08.08.2023</t>
  </si>
  <si>
    <t xml:space="preserve">   4.1.1.  Kirim dokumen </t>
  </si>
  <si>
    <t xml:space="preserve">   4.1.2.  Approval Kirim dokumen </t>
  </si>
  <si>
    <t>4.2. Terima Dokumen digudang center</t>
  </si>
  <si>
    <t xml:space="preserve">   4.2.1.  Terima dokumen </t>
  </si>
  <si>
    <t xml:space="preserve">   4.2.1.  Approval terima dokumen </t>
  </si>
  <si>
    <t>4.3.1 History Tracking</t>
  </si>
  <si>
    <t xml:space="preserve">Preparation Golive </t>
  </si>
  <si>
    <t>SIT</t>
  </si>
  <si>
    <t>11.08.2023</t>
  </si>
  <si>
    <t>User Manual</t>
  </si>
  <si>
    <t>14.08.2023</t>
  </si>
  <si>
    <t>18.08.2023</t>
  </si>
  <si>
    <t>UAT</t>
  </si>
  <si>
    <t>21.08.2023</t>
  </si>
  <si>
    <t>22.08.2023</t>
  </si>
  <si>
    <t>Bugs Fixing</t>
  </si>
  <si>
    <t>23.08.2023</t>
  </si>
  <si>
    <t>29.08.2023</t>
  </si>
  <si>
    <t>Persiapan Server</t>
  </si>
  <si>
    <t>Materi Training</t>
  </si>
  <si>
    <t>01.08.2022</t>
  </si>
  <si>
    <t>02.08.2022</t>
  </si>
  <si>
    <t>Training User</t>
  </si>
  <si>
    <t>03.08.2022</t>
  </si>
  <si>
    <t>Go Live</t>
  </si>
  <si>
    <t>04.09.2023</t>
  </si>
  <si>
    <t>Go Live Support</t>
  </si>
  <si>
    <t>30 Hari</t>
  </si>
  <si>
    <t>04.10.2023</t>
  </si>
  <si>
    <t>Bobot</t>
  </si>
  <si>
    <t>Not yet</t>
  </si>
  <si>
    <t>Inprogress</t>
  </si>
  <si>
    <t>Keterangan</t>
  </si>
  <si>
    <t>Phase Prepare</t>
  </si>
  <si>
    <t>Phase Development</t>
  </si>
  <si>
    <t xml:space="preserve">  - Improvement Master Data</t>
  </si>
  <si>
    <t xml:space="preserve">  - Improvement Upload data</t>
  </si>
  <si>
    <t xml:space="preserve">  - Dokumen Soft Copy</t>
  </si>
  <si>
    <t xml:space="preserve">        - Request Dokumen Soft Copy</t>
  </si>
  <si>
    <t xml:space="preserve">        - Approved Dokumen Soft Copy</t>
  </si>
  <si>
    <t xml:space="preserve">        - Kirim Dokumen Soft Copy</t>
  </si>
  <si>
    <t xml:space="preserve">        - Terima Dokumen Soft Copy</t>
  </si>
  <si>
    <t xml:space="preserve">  - Dokumen Hard Copy</t>
  </si>
  <si>
    <t xml:space="preserve">        - Request Dokumen Hard Copy</t>
  </si>
  <si>
    <t xml:space="preserve">        - Approved Dokumen Hard Copy</t>
  </si>
  <si>
    <t xml:space="preserve">        - Kirim Dokumen Hard Copy</t>
  </si>
  <si>
    <t xml:space="preserve">        - Terima Dokumen Hard Copy</t>
  </si>
  <si>
    <t xml:space="preserve">  - Kirim Dokumen Hard Copy Gudang Center</t>
  </si>
  <si>
    <t xml:space="preserve">  - Report</t>
  </si>
  <si>
    <t>Phase Deployment</t>
  </si>
  <si>
    <t>Phase Complete</t>
  </si>
  <si>
    <t>Total</t>
  </si>
  <si>
    <t>Total Progress</t>
  </si>
  <si>
    <t>Include &gt;&gt;</t>
  </si>
  <si>
    <t>NRP</t>
  </si>
  <si>
    <t>Nama Karyawan</t>
  </si>
  <si>
    <t>Alamat email</t>
  </si>
  <si>
    <t>No Telp</t>
  </si>
  <si>
    <t>Lokasi Project</t>
  </si>
  <si>
    <t>Jabatan</t>
  </si>
  <si>
    <t>Group Member</t>
  </si>
  <si>
    <t>Andri LAW</t>
  </si>
  <si>
    <t>Andri.law@acset.co</t>
  </si>
  <si>
    <t>0813928192</t>
  </si>
  <si>
    <t>Cleon Park</t>
  </si>
  <si>
    <t>Surveyor</t>
  </si>
  <si>
    <t>Active</t>
  </si>
  <si>
    <t>Report Tracking</t>
  </si>
  <si>
    <t>Nama Project</t>
  </si>
  <si>
    <t>Module</t>
  </si>
  <si>
    <t>Nama Surveyor</t>
  </si>
  <si>
    <t>Tgl Pelaksanaan</t>
  </si>
  <si>
    <t>Easting 
[Latitude]</t>
  </si>
  <si>
    <t>Northing 
[Longitude]</t>
  </si>
  <si>
    <t>Posisi</t>
  </si>
  <si>
    <t>Zona</t>
  </si>
  <si>
    <t>3175012907131001</t>
  </si>
  <si>
    <t>Cleon Park Apt</t>
  </si>
  <si>
    <t>UTM</t>
  </si>
  <si>
    <t>Totok W</t>
  </si>
  <si>
    <t> 702457.914225178</t>
  </si>
  <si>
    <t>Titik 1</t>
  </si>
  <si>
    <t>Utara</t>
  </si>
  <si>
    <t>Geodetik</t>
  </si>
  <si>
    <t> -6.1660572</t>
  </si>
  <si>
    <t>Report Tools Management</t>
  </si>
  <si>
    <t>Nama Alat</t>
  </si>
  <si>
    <t>Merk / Brand</t>
  </si>
  <si>
    <t>No Seri Alat</t>
  </si>
  <si>
    <t>Tanggal Kirim</t>
  </si>
  <si>
    <t>Tanggal Terima</t>
  </si>
  <si>
    <t>Vendor / Tempat pengambilan</t>
  </si>
  <si>
    <t>Kondisi / kelengkapan</t>
  </si>
  <si>
    <t>Catatan</t>
  </si>
  <si>
    <t>Kalibrasi</t>
  </si>
  <si>
    <t>Theodolite</t>
  </si>
  <si>
    <t>Yamaha</t>
  </si>
  <si>
    <t>Q-01-20201</t>
  </si>
  <si>
    <t>13-07-2022</t>
  </si>
  <si>
    <t>-</t>
  </si>
  <si>
    <t>Beli Baru</t>
  </si>
  <si>
    <t>13-07-2023</t>
  </si>
  <si>
    <t>ASCC PLUS</t>
  </si>
  <si>
    <t>Lengkap</t>
  </si>
  <si>
    <t>Pinjam/sewa</t>
  </si>
  <si>
    <t>13-07-2024</t>
  </si>
  <si>
    <t>Layak Pakai</t>
  </si>
  <si>
    <t>Ok</t>
  </si>
  <si>
    <t>Hilang</t>
  </si>
  <si>
    <t>13-07-2025</t>
  </si>
  <si>
    <t>Report Daily Job</t>
  </si>
  <si>
    <t>Object Pekerjaan</t>
  </si>
  <si>
    <t>Nama Customer</t>
  </si>
  <si>
    <t>Posisi/Jabatan Customer</t>
  </si>
  <si>
    <t>Tanggal request</t>
  </si>
  <si>
    <t>Deskripsi singkat pekerjaan</t>
  </si>
  <si>
    <t>Deskripsi singkat masalah/temuan</t>
  </si>
  <si>
    <t>Daily Job Report</t>
  </si>
  <si>
    <t>Staff</t>
  </si>
  <si>
    <t>Tagging Lokasi</t>
  </si>
  <si>
    <t>Close</t>
  </si>
  <si>
    <t>Daily Job Request</t>
  </si>
  <si>
    <t>Open</t>
  </si>
  <si>
    <t>Report Standard References</t>
  </si>
  <si>
    <t>Tgl Proses</t>
  </si>
  <si>
    <t>No Dokumen</t>
  </si>
  <si>
    <t>Nama Dokumen</t>
  </si>
  <si>
    <t>Tanggal Expired</t>
  </si>
  <si>
    <t>Status Dokumen</t>
  </si>
  <si>
    <t>A01-001-2022</t>
  </si>
  <si>
    <t>Kepatuhan</t>
  </si>
  <si>
    <t>13-10-2022</t>
  </si>
  <si>
    <t>Publish</t>
  </si>
  <si>
    <t>Cara Taging</t>
  </si>
  <si>
    <t>Spesifik Alat</t>
  </si>
  <si>
    <t>Report Project Case</t>
  </si>
  <si>
    <t>Tanggal Proses</t>
  </si>
  <si>
    <t>Ditujukan kepada</t>
  </si>
  <si>
    <t>Subyek</t>
  </si>
  <si>
    <t>All Member</t>
  </si>
  <si>
    <t>Memorandum</t>
  </si>
  <si>
    <t>Mohon dapat dilanjutkan</t>
  </si>
  <si>
    <t>Surat Teguran</t>
  </si>
  <si>
    <t>Head</t>
  </si>
  <si>
    <t>Instruksi kerja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</si>
</sst>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6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.5"/>
      <name val="Helvetica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16" borderId="33" applyNumberFormat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0" fillId="26" borderId="36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3" borderId="30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6" fillId="19" borderId="34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4" fillId="19" borderId="30" applyNumberFormat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9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10" applyBorder="1" applyAlignment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58" fontId="0" fillId="0" borderId="1" xfId="0" applyNumberForma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6" xfId="0" applyBorder="1"/>
    <xf numFmtId="9" fontId="0" fillId="0" borderId="0" xfId="0" applyNumberFormat="1" applyFill="1"/>
    <xf numFmtId="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2" fillId="4" borderId="7" xfId="0" applyFont="1" applyFill="1" applyBorder="1" applyAlignment="1">
      <alignment horizontal="center"/>
    </xf>
    <xf numFmtId="9" fontId="2" fillId="4" borderId="7" xfId="6" applyFont="1" applyFill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0" xfId="0" applyFill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43" fontId="2" fillId="0" borderId="1" xfId="2" applyFont="1" applyBorder="1"/>
    <xf numFmtId="0" fontId="6" fillId="0" borderId="2" xfId="0" applyFont="1" applyFill="1" applyBorder="1" applyAlignment="1">
      <alignment horizontal="center" vertical="center" wrapText="1"/>
    </xf>
    <xf numFmtId="9" fontId="6" fillId="0" borderId="2" xfId="0" applyNumberFormat="1" applyFont="1" applyFill="1" applyBorder="1" applyAlignment="1">
      <alignment horizontal="center" vertical="center" wrapText="1"/>
    </xf>
    <xf numFmtId="43" fontId="0" fillId="0" borderId="1" xfId="2" applyFont="1" applyBorder="1"/>
    <xf numFmtId="0" fontId="6" fillId="0" borderId="2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3" fontId="0" fillId="0" borderId="23" xfId="2" applyFont="1" applyBorder="1"/>
    <xf numFmtId="0" fontId="6" fillId="0" borderId="28" xfId="0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43" fontId="0" fillId="0" borderId="1" xfId="2" applyFont="1" applyFill="1" applyBorder="1"/>
    <xf numFmtId="0" fontId="2" fillId="4" borderId="0" xfId="0" applyFont="1" applyFill="1"/>
    <xf numFmtId="0" fontId="3" fillId="2" borderId="1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0" fillId="0" borderId="23" xfId="0" applyFill="1" applyBorder="1"/>
    <xf numFmtId="0" fontId="0" fillId="4" borderId="0" xfId="0" applyFill="1"/>
    <xf numFmtId="0" fontId="0" fillId="4" borderId="23" xfId="0" applyFill="1" applyBorder="1"/>
    <xf numFmtId="43" fontId="0" fillId="0" borderId="1" xfId="2" applyFont="1" applyBorder="1" quotePrefix="1"/>
    <xf numFmtId="0" fontId="0" fillId="0" borderId="1" xfId="0" applyBorder="1" quotePrefix="1"/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333375</xdr:colOff>
      <xdr:row>0</xdr:row>
      <xdr:rowOff>635</xdr:rowOff>
    </xdr:from>
    <xdr:to>
      <xdr:col>2</xdr:col>
      <xdr:colOff>330835</xdr:colOff>
      <xdr:row>3</xdr:row>
      <xdr:rowOff>6350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35"/>
          <a:ext cx="915035" cy="558165"/>
        </a:xfrm>
        <a:prstGeom prst="rect">
          <a:avLst/>
        </a:prstGeom>
      </xdr:spPr>
    </xdr:pic>
    <xdr:clientData/>
  </xdr:twoCellAnchor>
  <xdr:twoCellAnchor>
    <xdr:from>
      <xdr:col>24</xdr:col>
      <xdr:colOff>114300</xdr:colOff>
      <xdr:row>50</xdr:row>
      <xdr:rowOff>38100</xdr:rowOff>
    </xdr:from>
    <xdr:to>
      <xdr:col>24</xdr:col>
      <xdr:colOff>276225</xdr:colOff>
      <xdr:row>50</xdr:row>
      <xdr:rowOff>161290</xdr:rowOff>
    </xdr:to>
    <xdr:sp>
      <xdr:nvSpPr>
        <xdr:cNvPr id="5" name="5-Point Star 4"/>
        <xdr:cNvSpPr/>
      </xdr:nvSpPr>
      <xdr:spPr>
        <a:xfrm>
          <a:off x="13531215" y="8877300"/>
          <a:ext cx="161925" cy="123190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314325</xdr:colOff>
      <xdr:row>9</xdr:row>
      <xdr:rowOff>95250</xdr:rowOff>
    </xdr:from>
    <xdr:to>
      <xdr:col>6</xdr:col>
      <xdr:colOff>18415</xdr:colOff>
      <xdr:row>13</xdr:row>
      <xdr:rowOff>8890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08375" y="1752600"/>
          <a:ext cx="342900" cy="65024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9</xdr:row>
      <xdr:rowOff>0</xdr:rowOff>
    </xdr:from>
    <xdr:to>
      <xdr:col>3</xdr:col>
      <xdr:colOff>218440</xdr:colOff>
      <xdr:row>12</xdr:row>
      <xdr:rowOff>170815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3870" y="1657350"/>
          <a:ext cx="381000" cy="72326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13</xdr:row>
      <xdr:rowOff>152400</xdr:rowOff>
    </xdr:from>
    <xdr:to>
      <xdr:col>4</xdr:col>
      <xdr:colOff>447040</xdr:colOff>
      <xdr:row>17</xdr:row>
      <xdr:rowOff>66040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8590" y="2546350"/>
          <a:ext cx="313690" cy="650240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16</xdr:row>
      <xdr:rowOff>171450</xdr:rowOff>
    </xdr:from>
    <xdr:to>
      <xdr:col>6</xdr:col>
      <xdr:colOff>266700</xdr:colOff>
      <xdr:row>18</xdr:row>
      <xdr:rowOff>133350</xdr:rowOff>
    </xdr:to>
    <xdr:sp>
      <xdr:nvSpPr>
        <xdr:cNvPr id="8" name="Rectangles 7"/>
        <xdr:cNvSpPr/>
      </xdr:nvSpPr>
      <xdr:spPr>
        <a:xfrm>
          <a:off x="2650490" y="3117850"/>
          <a:ext cx="1449070" cy="330200"/>
        </a:xfrm>
        <a:prstGeom prst="rect">
          <a:avLst/>
        </a:prstGeom>
        <a:ln>
          <a:noFill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id-ID" altLang="en-US" sz="800"/>
            <a:t>Atasan</a:t>
          </a:r>
          <a:endParaRPr lang="id-ID" altLang="en-US" sz="800"/>
        </a:p>
      </xdr:txBody>
    </xdr:sp>
    <xdr:clientData/>
  </xdr:twoCellAnchor>
  <xdr:twoCellAnchor>
    <xdr:from>
      <xdr:col>5</xdr:col>
      <xdr:colOff>155575</xdr:colOff>
      <xdr:row>1</xdr:row>
      <xdr:rowOff>50800</xdr:rowOff>
    </xdr:from>
    <xdr:to>
      <xdr:col>7</xdr:col>
      <xdr:colOff>24130</xdr:colOff>
      <xdr:row>6</xdr:row>
      <xdr:rowOff>16510</xdr:rowOff>
    </xdr:to>
    <xdr:sp>
      <xdr:nvSpPr>
        <xdr:cNvPr id="9" name="Oval 8"/>
        <xdr:cNvSpPr/>
      </xdr:nvSpPr>
      <xdr:spPr>
        <a:xfrm>
          <a:off x="3349625" y="234950"/>
          <a:ext cx="1146175" cy="8864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altLang="en-US" sz="1000"/>
            <a:t>Request Dokumen Softcopy</a:t>
          </a:r>
          <a:endParaRPr lang="id-ID" altLang="en-US" sz="1000"/>
        </a:p>
      </xdr:txBody>
    </xdr:sp>
    <xdr:clientData/>
  </xdr:twoCellAnchor>
  <xdr:twoCellAnchor>
    <xdr:from>
      <xdr:col>6</xdr:col>
      <xdr:colOff>196850</xdr:colOff>
      <xdr:row>13</xdr:row>
      <xdr:rowOff>158750</xdr:rowOff>
    </xdr:from>
    <xdr:to>
      <xdr:col>8</xdr:col>
      <xdr:colOff>65405</xdr:colOff>
      <xdr:row>18</xdr:row>
      <xdr:rowOff>124460</xdr:rowOff>
    </xdr:to>
    <xdr:sp>
      <xdr:nvSpPr>
        <xdr:cNvPr id="11" name="Oval 10"/>
        <xdr:cNvSpPr/>
      </xdr:nvSpPr>
      <xdr:spPr>
        <a:xfrm>
          <a:off x="4029710" y="2552700"/>
          <a:ext cx="1146175" cy="8864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altLang="en-US" sz="1000"/>
            <a:t>Kirim Dokumen Gudang Center</a:t>
          </a:r>
          <a:endParaRPr lang="id-ID" altLang="en-US" sz="1000"/>
        </a:p>
      </xdr:txBody>
    </xdr:sp>
    <xdr:clientData/>
  </xdr:twoCellAnchor>
  <xdr:twoCellAnchor>
    <xdr:from>
      <xdr:col>6</xdr:col>
      <xdr:colOff>406400</xdr:colOff>
      <xdr:row>7</xdr:row>
      <xdr:rowOff>82550</xdr:rowOff>
    </xdr:from>
    <xdr:to>
      <xdr:col>8</xdr:col>
      <xdr:colOff>274955</xdr:colOff>
      <xdr:row>12</xdr:row>
      <xdr:rowOff>48260</xdr:rowOff>
    </xdr:to>
    <xdr:sp>
      <xdr:nvSpPr>
        <xdr:cNvPr id="12" name="Oval 11"/>
        <xdr:cNvSpPr/>
      </xdr:nvSpPr>
      <xdr:spPr>
        <a:xfrm>
          <a:off x="4239260" y="1371600"/>
          <a:ext cx="1146175" cy="8864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altLang="en-US" sz="1000"/>
            <a:t>Request Dokumen Hardcopy</a:t>
          </a:r>
          <a:endParaRPr lang="id-ID" altLang="en-US" sz="1000"/>
        </a:p>
      </xdr:txBody>
    </xdr:sp>
    <xdr:clientData/>
  </xdr:twoCellAnchor>
  <xdr:twoCellAnchor>
    <xdr:from>
      <xdr:col>2</xdr:col>
      <xdr:colOff>206375</xdr:colOff>
      <xdr:row>1</xdr:row>
      <xdr:rowOff>149225</xdr:rowOff>
    </xdr:from>
    <xdr:to>
      <xdr:col>4</xdr:col>
      <xdr:colOff>74930</xdr:colOff>
      <xdr:row>6</xdr:row>
      <xdr:rowOff>114935</xdr:rowOff>
    </xdr:to>
    <xdr:sp>
      <xdr:nvSpPr>
        <xdr:cNvPr id="13" name="Oval 12"/>
        <xdr:cNvSpPr/>
      </xdr:nvSpPr>
      <xdr:spPr>
        <a:xfrm>
          <a:off x="1483995" y="333375"/>
          <a:ext cx="1146175" cy="88646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altLang="en-US" sz="1000"/>
            <a:t>Master Data User Managem</a:t>
          </a:r>
          <a:endParaRPr lang="id-ID" altLang="en-US" sz="1000"/>
        </a:p>
      </xdr:txBody>
    </xdr:sp>
    <xdr:clientData/>
  </xdr:twoCellAnchor>
  <xdr:twoCellAnchor>
    <xdr:from>
      <xdr:col>0</xdr:col>
      <xdr:colOff>180975</xdr:colOff>
      <xdr:row>7</xdr:row>
      <xdr:rowOff>0</xdr:rowOff>
    </xdr:from>
    <xdr:to>
      <xdr:col>2</xdr:col>
      <xdr:colOff>49530</xdr:colOff>
      <xdr:row>11</xdr:row>
      <xdr:rowOff>156210</xdr:rowOff>
    </xdr:to>
    <xdr:sp>
      <xdr:nvSpPr>
        <xdr:cNvPr id="14" name="Oval 13"/>
        <xdr:cNvSpPr/>
      </xdr:nvSpPr>
      <xdr:spPr>
        <a:xfrm>
          <a:off x="180975" y="1289050"/>
          <a:ext cx="1146175" cy="89281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altLang="en-US" sz="1000"/>
            <a:t>Master Data Location</a:t>
          </a:r>
          <a:endParaRPr lang="id-ID" altLang="en-US" sz="1000"/>
        </a:p>
      </xdr:txBody>
    </xdr:sp>
    <xdr:clientData/>
  </xdr:twoCellAnchor>
  <xdr:twoCellAnchor>
    <xdr:from>
      <xdr:col>4</xdr:col>
      <xdr:colOff>424815</xdr:colOff>
      <xdr:row>14</xdr:row>
      <xdr:rowOff>12065</xdr:rowOff>
    </xdr:from>
    <xdr:to>
      <xdr:col>5</xdr:col>
      <xdr:colOff>570865</xdr:colOff>
      <xdr:row>15</xdr:row>
      <xdr:rowOff>97790</xdr:rowOff>
    </xdr:to>
    <xdr:sp>
      <xdr:nvSpPr>
        <xdr:cNvPr id="15" name="Rectangles 14"/>
        <xdr:cNvSpPr/>
      </xdr:nvSpPr>
      <xdr:spPr>
        <a:xfrm rot="18900000">
          <a:off x="2980055" y="2590165"/>
          <a:ext cx="784860" cy="269875"/>
        </a:xfrm>
        <a:prstGeom prst="rect">
          <a:avLst/>
        </a:prstGeom>
        <a:ln>
          <a:noFill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id-ID" altLang="en-US" sz="900"/>
            <a:t>Include &gt;&gt;</a:t>
          </a:r>
          <a:endParaRPr lang="id-ID" altLang="en-US" sz="900"/>
        </a:p>
      </xdr:txBody>
    </xdr:sp>
    <xdr:clientData/>
  </xdr:twoCellAnchor>
  <xdr:twoCellAnchor>
    <xdr:from>
      <xdr:col>2</xdr:col>
      <xdr:colOff>49530</xdr:colOff>
      <xdr:row>9</xdr:row>
      <xdr:rowOff>78105</xdr:rowOff>
    </xdr:from>
    <xdr:to>
      <xdr:col>2</xdr:col>
      <xdr:colOff>476250</xdr:colOff>
      <xdr:row>10</xdr:row>
      <xdr:rowOff>180975</xdr:rowOff>
    </xdr:to>
    <xdr:cxnSp>
      <xdr:nvCxnSpPr>
        <xdr:cNvPr id="16" name="Straight Arrow Connector 15"/>
        <xdr:cNvCxnSpPr>
          <a:stCxn id="3" idx="1"/>
          <a:endCxn id="14" idx="6"/>
        </xdr:cNvCxnSpPr>
      </xdr:nvCxnSpPr>
      <xdr:spPr>
        <a:xfrm flipH="1" flipV="1">
          <a:off x="1327150" y="1735455"/>
          <a:ext cx="426720" cy="2870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218440</xdr:colOff>
      <xdr:row>5</xdr:row>
      <xdr:rowOff>170815</xdr:rowOff>
    </xdr:from>
    <xdr:to>
      <xdr:col>3</xdr:col>
      <xdr:colOff>525145</xdr:colOff>
      <xdr:row>10</xdr:row>
      <xdr:rowOff>180975</xdr:rowOff>
    </xdr:to>
    <xdr:cxnSp>
      <xdr:nvCxnSpPr>
        <xdr:cNvPr id="18" name="Straight Arrow Connector 17"/>
        <xdr:cNvCxnSpPr>
          <a:stCxn id="3" idx="3"/>
          <a:endCxn id="13" idx="5"/>
        </xdr:cNvCxnSpPr>
      </xdr:nvCxnSpPr>
      <xdr:spPr>
        <a:xfrm flipV="1">
          <a:off x="2134870" y="1091565"/>
          <a:ext cx="306705" cy="9309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</xdr:colOff>
      <xdr:row>5</xdr:row>
      <xdr:rowOff>72390</xdr:rowOff>
    </xdr:from>
    <xdr:to>
      <xdr:col>6</xdr:col>
      <xdr:colOff>474345</xdr:colOff>
      <xdr:row>11</xdr:row>
      <xdr:rowOff>52070</xdr:rowOff>
    </xdr:to>
    <xdr:cxnSp>
      <xdr:nvCxnSpPr>
        <xdr:cNvPr id="19" name="Straight Arrow Connector 18"/>
        <xdr:cNvCxnSpPr>
          <a:stCxn id="2" idx="3"/>
          <a:endCxn id="9" idx="5"/>
        </xdr:cNvCxnSpPr>
      </xdr:nvCxnSpPr>
      <xdr:spPr>
        <a:xfrm flipV="1">
          <a:off x="3851275" y="993140"/>
          <a:ext cx="455930" cy="10845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</xdr:colOff>
      <xdr:row>9</xdr:row>
      <xdr:rowOff>160655</xdr:rowOff>
    </xdr:from>
    <xdr:to>
      <xdr:col>6</xdr:col>
      <xdr:colOff>406400</xdr:colOff>
      <xdr:row>11</xdr:row>
      <xdr:rowOff>52070</xdr:rowOff>
    </xdr:to>
    <xdr:cxnSp>
      <xdr:nvCxnSpPr>
        <xdr:cNvPr id="20" name="Straight Arrow Connector 19"/>
        <xdr:cNvCxnSpPr>
          <a:stCxn id="2" idx="3"/>
          <a:endCxn id="12" idx="2"/>
        </xdr:cNvCxnSpPr>
      </xdr:nvCxnSpPr>
      <xdr:spPr>
        <a:xfrm flipV="1">
          <a:off x="3851275" y="1818005"/>
          <a:ext cx="387985" cy="2597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</xdr:colOff>
      <xdr:row>11</xdr:row>
      <xdr:rowOff>52070</xdr:rowOff>
    </xdr:from>
    <xdr:to>
      <xdr:col>6</xdr:col>
      <xdr:colOff>356235</xdr:colOff>
      <xdr:row>14</xdr:row>
      <xdr:rowOff>102870</xdr:rowOff>
    </xdr:to>
    <xdr:cxnSp>
      <xdr:nvCxnSpPr>
        <xdr:cNvPr id="21" name="Straight Arrow Connector 20"/>
        <xdr:cNvCxnSpPr>
          <a:stCxn id="2" idx="3"/>
          <a:endCxn id="11" idx="1"/>
        </xdr:cNvCxnSpPr>
      </xdr:nvCxnSpPr>
      <xdr:spPr>
        <a:xfrm>
          <a:off x="3851275" y="2077720"/>
          <a:ext cx="337820" cy="603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10</xdr:row>
      <xdr:rowOff>133350</xdr:rowOff>
    </xdr:from>
    <xdr:to>
      <xdr:col>5</xdr:col>
      <xdr:colOff>314325</xdr:colOff>
      <xdr:row>11</xdr:row>
      <xdr:rowOff>52070</xdr:rowOff>
    </xdr:to>
    <xdr:cxnSp>
      <xdr:nvCxnSpPr>
        <xdr:cNvPr id="22" name="Straight Arrow Connector 21"/>
        <xdr:cNvCxnSpPr>
          <a:endCxn id="2" idx="1"/>
        </xdr:cNvCxnSpPr>
      </xdr:nvCxnSpPr>
      <xdr:spPr>
        <a:xfrm>
          <a:off x="2145030" y="1974850"/>
          <a:ext cx="1363345" cy="1028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12</xdr:row>
      <xdr:rowOff>181610</xdr:rowOff>
    </xdr:from>
    <xdr:to>
      <xdr:col>5</xdr:col>
      <xdr:colOff>324485</xdr:colOff>
      <xdr:row>15</xdr:row>
      <xdr:rowOff>66675</xdr:rowOff>
    </xdr:to>
    <xdr:cxnSp>
      <xdr:nvCxnSpPr>
        <xdr:cNvPr id="23" name="Straight Arrow Connector 22"/>
        <xdr:cNvCxnSpPr/>
      </xdr:nvCxnSpPr>
      <xdr:spPr>
        <a:xfrm flipV="1">
          <a:off x="3021965" y="2391410"/>
          <a:ext cx="496570" cy="4375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</xdr:row>
      <xdr:rowOff>0</xdr:rowOff>
    </xdr:from>
    <xdr:to>
      <xdr:col>18</xdr:col>
      <xdr:colOff>504825</xdr:colOff>
      <xdr:row>20</xdr:row>
      <xdr:rowOff>180975</xdr:rowOff>
    </xdr:to>
    <xdr:pic>
      <xdr:nvPicPr>
        <xdr:cNvPr id="24" name="Picture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49290" y="184150"/>
          <a:ext cx="6254115" cy="3679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147320</xdr:rowOff>
    </xdr:from>
    <xdr:to>
      <xdr:col>10</xdr:col>
      <xdr:colOff>228600</xdr:colOff>
      <xdr:row>12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810" y="147320"/>
          <a:ext cx="5977890" cy="2233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13</xdr:row>
      <xdr:rowOff>5715</xdr:rowOff>
    </xdr:from>
    <xdr:to>
      <xdr:col>10</xdr:col>
      <xdr:colOff>238125</xdr:colOff>
      <xdr:row>23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5485" y="2399665"/>
          <a:ext cx="5920740" cy="200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314325</xdr:colOff>
      <xdr:row>0</xdr:row>
      <xdr:rowOff>173990</xdr:rowOff>
    </xdr:from>
    <xdr:to>
      <xdr:col>19</xdr:col>
      <xdr:colOff>485775</xdr:colOff>
      <xdr:row>12</xdr:row>
      <xdr:rowOff>123825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02425" y="173990"/>
          <a:ext cx="5920740" cy="2159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323850</xdr:colOff>
      <xdr:row>12</xdr:row>
      <xdr:rowOff>187960</xdr:rowOff>
    </xdr:from>
    <xdr:to>
      <xdr:col>20</xdr:col>
      <xdr:colOff>66675</xdr:colOff>
      <xdr:row>23</xdr:row>
      <xdr:rowOff>57150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11950" y="2393950"/>
          <a:ext cx="6130925" cy="189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31</xdr:col>
      <xdr:colOff>466725</xdr:colOff>
      <xdr:row>13</xdr:row>
      <xdr:rowOff>152400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776200" y="184150"/>
          <a:ext cx="7493635" cy="236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228600</xdr:colOff>
      <xdr:row>14</xdr:row>
      <xdr:rowOff>15875</xdr:rowOff>
    </xdr:from>
    <xdr:to>
      <xdr:col>32</xdr:col>
      <xdr:colOff>142875</xdr:colOff>
      <xdr:row>28</xdr:row>
      <xdr:rowOff>15875</xdr:rowOff>
    </xdr:to>
    <xdr:pic>
      <xdr:nvPicPr>
        <xdr:cNvPr id="9" name="Picture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004800" y="2593975"/>
          <a:ext cx="7579995" cy="257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307975</xdr:colOff>
      <xdr:row>28</xdr:row>
      <xdr:rowOff>142875</xdr:rowOff>
    </xdr:from>
    <xdr:to>
      <xdr:col>32</xdr:col>
      <xdr:colOff>193675</xdr:colOff>
      <xdr:row>42</xdr:row>
      <xdr:rowOff>104775</xdr:rowOff>
    </xdr:to>
    <xdr:pic>
      <xdr:nvPicPr>
        <xdr:cNvPr id="10" name="Picture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084175" y="5299075"/>
          <a:ext cx="7551420" cy="254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29</xdr:row>
      <xdr:rowOff>136525</xdr:rowOff>
    </xdr:from>
    <xdr:to>
      <xdr:col>16</xdr:col>
      <xdr:colOff>501650</xdr:colOff>
      <xdr:row>30</xdr:row>
      <xdr:rowOff>168275</xdr:rowOff>
    </xdr:to>
    <xdr:sp>
      <xdr:nvSpPr>
        <xdr:cNvPr id="7" name="Rectangles 6"/>
        <xdr:cNvSpPr/>
      </xdr:nvSpPr>
      <xdr:spPr>
        <a:xfrm>
          <a:off x="9048115" y="5476875"/>
          <a:ext cx="1674495" cy="215900"/>
        </a:xfrm>
        <a:prstGeom prst="rect">
          <a:avLst/>
        </a:prstGeom>
        <a:ln>
          <a:noFill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342900</xdr:colOff>
      <xdr:row>43</xdr:row>
      <xdr:rowOff>25400</xdr:rowOff>
    </xdr:from>
    <xdr:to>
      <xdr:col>15</xdr:col>
      <xdr:colOff>130175</xdr:colOff>
      <xdr:row>44</xdr:row>
      <xdr:rowOff>57150</xdr:rowOff>
    </xdr:to>
    <xdr:sp>
      <xdr:nvSpPr>
        <xdr:cNvPr id="11" name="Rectangles 10"/>
        <xdr:cNvSpPr/>
      </xdr:nvSpPr>
      <xdr:spPr>
        <a:xfrm>
          <a:off x="8008620" y="7943850"/>
          <a:ext cx="1703705" cy="215900"/>
        </a:xfrm>
        <a:prstGeom prst="rect">
          <a:avLst/>
        </a:prstGeom>
        <a:ln>
          <a:noFill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149225</xdr:colOff>
      <xdr:row>35</xdr:row>
      <xdr:rowOff>47625</xdr:rowOff>
    </xdr:from>
    <xdr:to>
      <xdr:col>16</xdr:col>
      <xdr:colOff>546100</xdr:colOff>
      <xdr:row>37</xdr:row>
      <xdr:rowOff>31115</xdr:rowOff>
    </xdr:to>
    <xdr:sp>
      <xdr:nvSpPr>
        <xdr:cNvPr id="12" name="Rectangles 11"/>
        <xdr:cNvSpPr/>
      </xdr:nvSpPr>
      <xdr:spPr>
        <a:xfrm>
          <a:off x="9092565" y="6492875"/>
          <a:ext cx="1674495" cy="351790"/>
        </a:xfrm>
        <a:prstGeom prst="rect">
          <a:avLst/>
        </a:prstGeom>
        <a:ln>
          <a:noFill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10</xdr:col>
      <xdr:colOff>411480</xdr:colOff>
      <xdr:row>19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6790055" cy="352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20</xdr:col>
      <xdr:colOff>209550</xdr:colOff>
      <xdr:row>28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26910" y="0"/>
          <a:ext cx="5958840" cy="5337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ndri.law@acset.c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52"/>
  <sheetViews>
    <sheetView showGridLines="0" tabSelected="1" workbookViewId="0">
      <pane xSplit="8" ySplit="8" topLeftCell="I24" activePane="bottomRight" state="frozen"/>
      <selection/>
      <selection pane="topRight"/>
      <selection pane="bottomLeft"/>
      <selection pane="bottomRight" activeCell="B24" sqref="B24:B29"/>
    </sheetView>
  </sheetViews>
  <sheetFormatPr defaultColWidth="12" defaultRowHeight="14.5"/>
  <cols>
    <col min="1" max="1" width="5.85454545454545" customWidth="1"/>
    <col min="2" max="2" width="7.28181818181818" customWidth="1"/>
    <col min="3" max="3" width="37.1454545454545" customWidth="1"/>
    <col min="6" max="6" width="12.8545454545455"/>
    <col min="7" max="7" width="10.1454545454545" customWidth="1"/>
    <col min="9" max="9" width="4.85454545454545" customWidth="1"/>
    <col min="10" max="12" width="5.28181818181818" customWidth="1"/>
    <col min="13" max="13" width="4.85454545454545" customWidth="1"/>
    <col min="14" max="16" width="5.28181818181818" customWidth="1"/>
    <col min="17" max="17" width="4.85454545454545" customWidth="1"/>
    <col min="18" max="20" width="5.28181818181818" customWidth="1"/>
    <col min="21" max="21" width="4.85454545454545" customWidth="1"/>
    <col min="22" max="24" width="5.28181818181818" customWidth="1"/>
    <col min="25" max="25" width="4.85454545454545" customWidth="1"/>
    <col min="26" max="28" width="5.28181818181818" customWidth="1"/>
    <col min="29" max="29" width="4.85454545454545" customWidth="1"/>
    <col min="30" max="32" width="5.28181818181818" customWidth="1"/>
  </cols>
  <sheetData>
    <row r="1" spans="16:18">
      <c r="P1" s="82" t="s">
        <v>0</v>
      </c>
      <c r="Q1" s="94"/>
      <c r="R1" s="94"/>
    </row>
    <row r="2" spans="16:18">
      <c r="P2" t="s">
        <v>1</v>
      </c>
      <c r="R2" t="s">
        <v>2</v>
      </c>
    </row>
    <row r="3" spans="2:18">
      <c r="B3" s="4" t="s">
        <v>3</v>
      </c>
      <c r="P3" t="s">
        <v>4</v>
      </c>
      <c r="R3" t="s">
        <v>5</v>
      </c>
    </row>
    <row r="4" spans="2:2">
      <c r="B4" s="4" t="s">
        <v>6</v>
      </c>
    </row>
    <row r="5" spans="3:3">
      <c r="C5" s="4"/>
    </row>
    <row r="6" spans="2:32">
      <c r="B6" s="42" t="s">
        <v>7</v>
      </c>
      <c r="C6" s="43" t="s">
        <v>8</v>
      </c>
      <c r="D6" s="43" t="s">
        <v>9</v>
      </c>
      <c r="E6" s="44" t="s">
        <v>10</v>
      </c>
      <c r="F6" s="45"/>
      <c r="G6" s="46" t="s">
        <v>11</v>
      </c>
      <c r="H6" s="43" t="s">
        <v>12</v>
      </c>
      <c r="I6" s="83" t="s">
        <v>13</v>
      </c>
      <c r="J6" s="83"/>
      <c r="K6" s="83"/>
      <c r="L6" s="83"/>
      <c r="M6" s="83" t="s">
        <v>14</v>
      </c>
      <c r="N6" s="83"/>
      <c r="O6" s="83"/>
      <c r="P6" s="83"/>
      <c r="Q6" s="83" t="s">
        <v>15</v>
      </c>
      <c r="R6" s="83"/>
      <c r="S6" s="83"/>
      <c r="T6" s="83"/>
      <c r="U6" s="83" t="s">
        <v>16</v>
      </c>
      <c r="V6" s="83"/>
      <c r="W6" s="83"/>
      <c r="X6" s="83"/>
      <c r="Y6" s="83" t="s">
        <v>17</v>
      </c>
      <c r="Z6" s="83"/>
      <c r="AA6" s="83"/>
      <c r="AB6" s="83"/>
      <c r="AC6" s="83" t="s">
        <v>18</v>
      </c>
      <c r="AD6" s="83"/>
      <c r="AE6" s="83"/>
      <c r="AF6" s="83"/>
    </row>
    <row r="7" spans="2:32">
      <c r="B7" s="47"/>
      <c r="C7" s="48"/>
      <c r="D7" s="48"/>
      <c r="E7" s="48" t="s">
        <v>19</v>
      </c>
      <c r="F7" s="49" t="s">
        <v>20</v>
      </c>
      <c r="G7" s="50"/>
      <c r="H7" s="48"/>
      <c r="I7" s="84" t="s">
        <v>21</v>
      </c>
      <c r="J7" s="84" t="s">
        <v>22</v>
      </c>
      <c r="K7" s="84" t="s">
        <v>23</v>
      </c>
      <c r="L7" s="84" t="s">
        <v>24</v>
      </c>
      <c r="M7" s="84" t="s">
        <v>21</v>
      </c>
      <c r="N7" s="84" t="s">
        <v>22</v>
      </c>
      <c r="O7" s="84" t="s">
        <v>23</v>
      </c>
      <c r="P7" s="84" t="s">
        <v>24</v>
      </c>
      <c r="Q7" s="84" t="s">
        <v>21</v>
      </c>
      <c r="R7" s="84" t="s">
        <v>22</v>
      </c>
      <c r="S7" s="84" t="s">
        <v>23</v>
      </c>
      <c r="T7" s="84" t="s">
        <v>24</v>
      </c>
      <c r="U7" s="84" t="s">
        <v>21</v>
      </c>
      <c r="V7" s="84" t="s">
        <v>22</v>
      </c>
      <c r="W7" s="84" t="s">
        <v>23</v>
      </c>
      <c r="X7" s="84" t="s">
        <v>24</v>
      </c>
      <c r="Y7" s="84" t="s">
        <v>21</v>
      </c>
      <c r="Z7" s="84" t="s">
        <v>22</v>
      </c>
      <c r="AA7" s="84" t="s">
        <v>23</v>
      </c>
      <c r="AB7" s="84" t="s">
        <v>24</v>
      </c>
      <c r="AC7" s="84" t="s">
        <v>21</v>
      </c>
      <c r="AD7" s="84" t="s">
        <v>22</v>
      </c>
      <c r="AE7" s="84" t="s">
        <v>23</v>
      </c>
      <c r="AF7" s="84" t="s">
        <v>24</v>
      </c>
    </row>
    <row r="8" s="41" customFormat="1" spans="2:32">
      <c r="B8" s="51" t="s">
        <v>25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</row>
    <row r="9" s="41" customFormat="1" spans="2:32">
      <c r="B9" s="53">
        <v>1</v>
      </c>
      <c r="C9" s="54" t="s">
        <v>26</v>
      </c>
      <c r="D9" s="55" t="s">
        <v>27</v>
      </c>
      <c r="E9" s="55" t="s">
        <v>28</v>
      </c>
      <c r="F9" s="55" t="s">
        <v>28</v>
      </c>
      <c r="G9" s="56">
        <v>1</v>
      </c>
      <c r="H9" s="55" t="s">
        <v>29</v>
      </c>
      <c r="I9" s="85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</row>
    <row r="10" s="41" customFormat="1" spans="2:32">
      <c r="B10" s="53">
        <v>2</v>
      </c>
      <c r="C10" s="54" t="s">
        <v>30</v>
      </c>
      <c r="D10" s="55" t="s">
        <v>27</v>
      </c>
      <c r="E10" s="55" t="s">
        <v>28</v>
      </c>
      <c r="F10" s="55" t="s">
        <v>28</v>
      </c>
      <c r="G10" s="56">
        <v>1</v>
      </c>
      <c r="H10" s="55" t="s">
        <v>29</v>
      </c>
      <c r="I10" s="85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</row>
    <row r="11" s="41" customFormat="1" spans="2:32">
      <c r="B11" s="53">
        <v>3</v>
      </c>
      <c r="C11" s="54" t="s">
        <v>31</v>
      </c>
      <c r="D11" s="55" t="s">
        <v>32</v>
      </c>
      <c r="E11" s="55" t="s">
        <v>33</v>
      </c>
      <c r="F11" s="55" t="s">
        <v>34</v>
      </c>
      <c r="G11" s="56">
        <v>1</v>
      </c>
      <c r="H11" s="55" t="s">
        <v>29</v>
      </c>
      <c r="I11" s="85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</row>
    <row r="12" s="41" customFormat="1" spans="2:32">
      <c r="B12" s="53">
        <v>4</v>
      </c>
      <c r="C12" s="54" t="s">
        <v>35</v>
      </c>
      <c r="D12" s="55" t="s">
        <v>27</v>
      </c>
      <c r="E12" s="55" t="s">
        <v>33</v>
      </c>
      <c r="F12" s="55" t="s">
        <v>33</v>
      </c>
      <c r="G12" s="56">
        <v>1</v>
      </c>
      <c r="H12" s="55" t="s">
        <v>29</v>
      </c>
      <c r="I12" s="85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</row>
    <row r="13" s="41" customFormat="1" spans="2:32">
      <c r="B13" s="53">
        <v>5</v>
      </c>
      <c r="C13" s="54" t="s">
        <v>36</v>
      </c>
      <c r="D13" s="55" t="s">
        <v>37</v>
      </c>
      <c r="E13" s="55" t="s">
        <v>38</v>
      </c>
      <c r="F13" s="55" t="s">
        <v>39</v>
      </c>
      <c r="G13" s="56">
        <v>1</v>
      </c>
      <c r="H13" s="55" t="s">
        <v>29</v>
      </c>
      <c r="I13" s="86"/>
      <c r="J13" s="85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</row>
    <row r="14" s="41" customFormat="1" spans="2:32">
      <c r="B14" s="53">
        <v>6</v>
      </c>
      <c r="C14" s="54" t="s">
        <v>40</v>
      </c>
      <c r="D14" s="55" t="s">
        <v>41</v>
      </c>
      <c r="E14" s="55" t="s">
        <v>38</v>
      </c>
      <c r="F14" s="55" t="s">
        <v>39</v>
      </c>
      <c r="G14" s="56">
        <v>1</v>
      </c>
      <c r="H14" s="55" t="s">
        <v>29</v>
      </c>
      <c r="I14" s="86"/>
      <c r="J14" s="85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</row>
    <row r="15" s="41" customFormat="1" spans="2:32">
      <c r="B15" s="53">
        <v>7</v>
      </c>
      <c r="C15" s="54" t="s">
        <v>42</v>
      </c>
      <c r="D15" s="55" t="s">
        <v>43</v>
      </c>
      <c r="E15" s="55" t="s">
        <v>44</v>
      </c>
      <c r="F15" s="55" t="s">
        <v>45</v>
      </c>
      <c r="G15" s="56">
        <v>1</v>
      </c>
      <c r="H15" s="55" t="s">
        <v>29</v>
      </c>
      <c r="I15" s="87"/>
      <c r="J15" s="88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</row>
    <row r="16" s="41" customFormat="1" spans="2:32">
      <c r="B16" s="57" t="s">
        <v>46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</row>
    <row r="17" s="41" customFormat="1" spans="2:32">
      <c r="B17" s="59"/>
      <c r="C17" s="60" t="s">
        <v>47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</row>
    <row r="18" s="41" customFormat="1" spans="2:32">
      <c r="B18" s="53">
        <v>1</v>
      </c>
      <c r="C18" s="54" t="s">
        <v>48</v>
      </c>
      <c r="D18" s="55" t="s">
        <v>49</v>
      </c>
      <c r="E18" s="55" t="s">
        <v>50</v>
      </c>
      <c r="F18" s="55" t="s">
        <v>51</v>
      </c>
      <c r="G18" s="56">
        <v>0</v>
      </c>
      <c r="H18" s="55" t="s">
        <v>52</v>
      </c>
      <c r="I18" s="86"/>
      <c r="J18" s="86"/>
      <c r="K18" s="89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</row>
    <row r="19" s="41" customFormat="1" spans="2:32">
      <c r="B19" s="53">
        <v>2</v>
      </c>
      <c r="C19" s="54" t="s">
        <v>53</v>
      </c>
      <c r="D19" s="55" t="s">
        <v>43</v>
      </c>
      <c r="E19" s="55" t="s">
        <v>54</v>
      </c>
      <c r="F19" s="55" t="s">
        <v>55</v>
      </c>
      <c r="G19" s="56">
        <v>0</v>
      </c>
      <c r="H19" s="55" t="s">
        <v>52</v>
      </c>
      <c r="I19" s="87"/>
      <c r="J19" s="87"/>
      <c r="K19" s="87"/>
      <c r="L19" s="90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</row>
    <row r="20" s="41" customFormat="1" spans="2:32">
      <c r="B20" s="53">
        <v>3</v>
      </c>
      <c r="C20" s="54" t="s">
        <v>56</v>
      </c>
      <c r="D20" s="55" t="s">
        <v>49</v>
      </c>
      <c r="E20" s="55" t="s">
        <v>57</v>
      </c>
      <c r="F20" s="55" t="s">
        <v>58</v>
      </c>
      <c r="G20" s="56">
        <v>0</v>
      </c>
      <c r="H20" s="55" t="s">
        <v>52</v>
      </c>
      <c r="I20" s="87"/>
      <c r="J20" s="87"/>
      <c r="K20" s="87"/>
      <c r="L20" s="87"/>
      <c r="M20" s="90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</row>
    <row r="21" spans="2:32">
      <c r="B21" s="62"/>
      <c r="C21" s="63" t="s">
        <v>59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</row>
    <row r="22" spans="2:32">
      <c r="B22" s="65">
        <v>1</v>
      </c>
      <c r="C22" s="66" t="s">
        <v>60</v>
      </c>
      <c r="D22" s="67" t="s">
        <v>41</v>
      </c>
      <c r="E22" s="67" t="s">
        <v>61</v>
      </c>
      <c r="F22" s="67" t="s">
        <v>62</v>
      </c>
      <c r="G22" s="68">
        <v>0</v>
      </c>
      <c r="H22" s="67" t="s">
        <v>52</v>
      </c>
      <c r="I22" s="91"/>
      <c r="J22" s="91"/>
      <c r="K22" s="2"/>
      <c r="L22" s="2"/>
      <c r="M22" s="92"/>
      <c r="N22" s="92"/>
      <c r="O22" s="9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2:32">
      <c r="B23" s="65"/>
      <c r="C23" s="96" t="s">
        <v>63</v>
      </c>
      <c r="D23" s="70"/>
      <c r="E23" s="70"/>
      <c r="F23" s="70"/>
      <c r="G23" s="70"/>
      <c r="H23" s="70"/>
      <c r="I23" s="91"/>
      <c r="J23" s="91"/>
      <c r="K23" s="2"/>
      <c r="L23" s="2"/>
      <c r="M23" s="92"/>
      <c r="N23" s="92"/>
      <c r="O23" s="9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2:32">
      <c r="B24" s="65">
        <v>2</v>
      </c>
      <c r="C24" s="66" t="s">
        <v>64</v>
      </c>
      <c r="D24" s="67" t="s">
        <v>41</v>
      </c>
      <c r="E24" s="67" t="s">
        <v>65</v>
      </c>
      <c r="F24" s="67" t="s">
        <v>66</v>
      </c>
      <c r="G24" s="68">
        <v>0</v>
      </c>
      <c r="H24" s="67" t="s">
        <v>52</v>
      </c>
      <c r="I24" s="91"/>
      <c r="J24" s="91"/>
      <c r="K24" s="2"/>
      <c r="L24" s="91"/>
      <c r="M24" s="91"/>
      <c r="N24" s="91"/>
      <c r="O24" s="92"/>
      <c r="P24" s="92"/>
      <c r="Q24" s="92"/>
      <c r="R24" s="91"/>
      <c r="S24" s="91"/>
      <c r="T24" s="91"/>
      <c r="U24" s="91"/>
      <c r="V24" s="91"/>
      <c r="W24" s="91"/>
      <c r="X24" s="2"/>
      <c r="Y24" s="91"/>
      <c r="Z24" s="91"/>
      <c r="AA24" s="91"/>
      <c r="AB24" s="2"/>
      <c r="AC24" s="91"/>
      <c r="AD24" s="91"/>
      <c r="AE24" s="91"/>
      <c r="AF24" s="2"/>
    </row>
    <row r="25" spans="2:32">
      <c r="B25" s="65"/>
      <c r="C25" s="69" t="s">
        <v>67</v>
      </c>
      <c r="D25" s="70"/>
      <c r="E25" s="70"/>
      <c r="F25" s="70"/>
      <c r="G25" s="70"/>
      <c r="H25" s="70"/>
      <c r="I25" s="91"/>
      <c r="J25" s="91"/>
      <c r="K25" s="2"/>
      <c r="L25" s="91"/>
      <c r="M25" s="91"/>
      <c r="N25" s="91"/>
      <c r="O25" s="92"/>
      <c r="P25" s="92"/>
      <c r="Q25" s="92"/>
      <c r="R25" s="91"/>
      <c r="S25" s="91"/>
      <c r="T25" s="91"/>
      <c r="U25" s="91"/>
      <c r="V25" s="91"/>
      <c r="W25" s="91"/>
      <c r="X25" s="2"/>
      <c r="Y25" s="91"/>
      <c r="Z25" s="91"/>
      <c r="AA25" s="91"/>
      <c r="AB25" s="2"/>
      <c r="AC25" s="91"/>
      <c r="AD25" s="91"/>
      <c r="AE25" s="91"/>
      <c r="AF25" s="2"/>
    </row>
    <row r="26" spans="2:32">
      <c r="B26" s="65"/>
      <c r="C26" s="69" t="s">
        <v>68</v>
      </c>
      <c r="D26" s="70"/>
      <c r="E26" s="70"/>
      <c r="F26" s="70"/>
      <c r="G26" s="70"/>
      <c r="H26" s="70"/>
      <c r="I26" s="91"/>
      <c r="J26" s="91"/>
      <c r="K26" s="2"/>
      <c r="L26" s="91"/>
      <c r="M26" s="91"/>
      <c r="N26" s="91"/>
      <c r="O26" s="92"/>
      <c r="P26" s="92"/>
      <c r="Q26" s="92"/>
      <c r="R26" s="91"/>
      <c r="S26" s="91"/>
      <c r="T26" s="91"/>
      <c r="U26" s="91"/>
      <c r="V26" s="91"/>
      <c r="W26" s="91"/>
      <c r="X26" s="2"/>
      <c r="Y26" s="91"/>
      <c r="Z26" s="91"/>
      <c r="AA26" s="91"/>
      <c r="AB26" s="2"/>
      <c r="AC26" s="91"/>
      <c r="AD26" s="91"/>
      <c r="AE26" s="91"/>
      <c r="AF26" s="2"/>
    </row>
    <row r="27" spans="2:32">
      <c r="B27" s="65"/>
      <c r="C27" s="69" t="s">
        <v>69</v>
      </c>
      <c r="D27" s="70"/>
      <c r="E27" s="70"/>
      <c r="F27" s="70"/>
      <c r="G27" s="70"/>
      <c r="H27" s="70"/>
      <c r="I27" s="91"/>
      <c r="J27" s="91"/>
      <c r="K27" s="2"/>
      <c r="L27" s="91"/>
      <c r="M27" s="91"/>
      <c r="N27" s="91"/>
      <c r="O27" s="92"/>
      <c r="P27" s="92"/>
      <c r="Q27" s="92"/>
      <c r="R27" s="91"/>
      <c r="S27" s="91"/>
      <c r="T27" s="91"/>
      <c r="U27" s="91"/>
      <c r="V27" s="91"/>
      <c r="W27" s="91"/>
      <c r="X27" s="2"/>
      <c r="Y27" s="91"/>
      <c r="Z27" s="91"/>
      <c r="AA27" s="91"/>
      <c r="AB27" s="2"/>
      <c r="AC27" s="91"/>
      <c r="AD27" s="91"/>
      <c r="AE27" s="91"/>
      <c r="AF27" s="2"/>
    </row>
    <row r="28" spans="2:32">
      <c r="B28" s="65"/>
      <c r="C28" s="69" t="s">
        <v>70</v>
      </c>
      <c r="D28" s="70"/>
      <c r="E28" s="70"/>
      <c r="F28" s="70"/>
      <c r="G28" s="70"/>
      <c r="H28" s="70"/>
      <c r="I28" s="91"/>
      <c r="J28" s="91"/>
      <c r="K28" s="2"/>
      <c r="L28" s="91"/>
      <c r="M28" s="91"/>
      <c r="N28" s="91"/>
      <c r="O28" s="92"/>
      <c r="P28" s="92"/>
      <c r="Q28" s="92"/>
      <c r="R28" s="91"/>
      <c r="S28" s="91"/>
      <c r="T28" s="91"/>
      <c r="U28" s="91"/>
      <c r="V28" s="91"/>
      <c r="W28" s="91"/>
      <c r="X28" s="2"/>
      <c r="Y28" s="91"/>
      <c r="Z28" s="91"/>
      <c r="AA28" s="91"/>
      <c r="AB28" s="2"/>
      <c r="AC28" s="91"/>
      <c r="AD28" s="91"/>
      <c r="AE28" s="91"/>
      <c r="AF28" s="2"/>
    </row>
    <row r="29" spans="2:32">
      <c r="B29" s="65"/>
      <c r="C29" s="69" t="s">
        <v>71</v>
      </c>
      <c r="D29" s="71"/>
      <c r="E29" s="71"/>
      <c r="F29" s="71"/>
      <c r="G29" s="71"/>
      <c r="H29" s="71"/>
      <c r="I29" s="91"/>
      <c r="J29" s="91"/>
      <c r="K29" s="2"/>
      <c r="L29" s="91"/>
      <c r="M29" s="91"/>
      <c r="N29" s="91"/>
      <c r="O29" s="92"/>
      <c r="P29" s="92"/>
      <c r="Q29" s="92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</row>
    <row r="30" spans="2:32">
      <c r="B30" s="65">
        <v>3</v>
      </c>
      <c r="C30" s="66" t="s">
        <v>72</v>
      </c>
      <c r="D30" s="67" t="s">
        <v>73</v>
      </c>
      <c r="E30" s="67" t="s">
        <v>74</v>
      </c>
      <c r="F30" s="67" t="s">
        <v>75</v>
      </c>
      <c r="G30" s="68">
        <v>0</v>
      </c>
      <c r="H30" s="67" t="s">
        <v>52</v>
      </c>
      <c r="I30" s="91"/>
      <c r="J30" s="91"/>
      <c r="K30" s="2"/>
      <c r="L30" s="91"/>
      <c r="M30" s="91"/>
      <c r="N30" s="91"/>
      <c r="O30" s="91"/>
      <c r="P30" s="91"/>
      <c r="Q30" s="92"/>
      <c r="R30" s="92"/>
      <c r="S30" s="92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</row>
    <row r="31" spans="2:32">
      <c r="B31" s="65"/>
      <c r="C31" s="69" t="s">
        <v>76</v>
      </c>
      <c r="D31" s="70"/>
      <c r="E31" s="70"/>
      <c r="F31" s="70"/>
      <c r="G31" s="70"/>
      <c r="H31" s="70"/>
      <c r="I31" s="91"/>
      <c r="J31" s="91"/>
      <c r="K31" s="2"/>
      <c r="L31" s="91"/>
      <c r="M31" s="91"/>
      <c r="N31" s="91"/>
      <c r="O31" s="91"/>
      <c r="P31" s="91"/>
      <c r="Q31" s="92"/>
      <c r="R31" s="92"/>
      <c r="S31" s="92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</row>
    <row r="32" spans="2:32">
      <c r="B32" s="65"/>
      <c r="C32" s="69" t="s">
        <v>77</v>
      </c>
      <c r="D32" s="70"/>
      <c r="E32" s="70"/>
      <c r="F32" s="70"/>
      <c r="G32" s="70"/>
      <c r="H32" s="70"/>
      <c r="I32" s="91"/>
      <c r="J32" s="91"/>
      <c r="K32" s="2"/>
      <c r="L32" s="91"/>
      <c r="M32" s="91"/>
      <c r="N32" s="91"/>
      <c r="O32" s="91"/>
      <c r="P32" s="91"/>
      <c r="Q32" s="92"/>
      <c r="R32" s="92"/>
      <c r="S32" s="92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</row>
    <row r="33" spans="2:32">
      <c r="B33" s="65"/>
      <c r="C33" s="69" t="s">
        <v>78</v>
      </c>
      <c r="D33" s="70"/>
      <c r="E33" s="70"/>
      <c r="F33" s="70"/>
      <c r="G33" s="70"/>
      <c r="H33" s="70"/>
      <c r="I33" s="91"/>
      <c r="J33" s="91"/>
      <c r="K33" s="2"/>
      <c r="L33" s="91"/>
      <c r="M33" s="91"/>
      <c r="N33" s="91"/>
      <c r="O33" s="91"/>
      <c r="P33" s="91"/>
      <c r="Q33" s="92"/>
      <c r="R33" s="92"/>
      <c r="S33" s="92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</row>
    <row r="34" spans="2:32">
      <c r="B34" s="65"/>
      <c r="C34" s="69" t="s">
        <v>79</v>
      </c>
      <c r="D34" s="70"/>
      <c r="E34" s="70"/>
      <c r="F34" s="70"/>
      <c r="G34" s="70"/>
      <c r="H34" s="70"/>
      <c r="I34" s="91"/>
      <c r="J34" s="91"/>
      <c r="K34" s="2"/>
      <c r="L34" s="91"/>
      <c r="M34" s="91"/>
      <c r="N34" s="91"/>
      <c r="O34" s="91"/>
      <c r="P34" s="91"/>
      <c r="Q34" s="92"/>
      <c r="R34" s="92"/>
      <c r="S34" s="92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</row>
    <row r="35" spans="2:32">
      <c r="B35" s="65"/>
      <c r="C35" s="69" t="s">
        <v>80</v>
      </c>
      <c r="D35" s="71"/>
      <c r="E35" s="71"/>
      <c r="F35" s="71"/>
      <c r="G35" s="71"/>
      <c r="H35" s="71"/>
      <c r="I35" s="91"/>
      <c r="J35" s="91"/>
      <c r="K35" s="2"/>
      <c r="L35" s="91"/>
      <c r="M35" s="91"/>
      <c r="N35" s="91"/>
      <c r="O35" s="91"/>
      <c r="P35" s="91"/>
      <c r="Q35" s="92"/>
      <c r="R35" s="92"/>
      <c r="S35" s="92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</row>
    <row r="36" spans="2:32">
      <c r="B36" s="72">
        <v>4</v>
      </c>
      <c r="C36" s="66" t="s">
        <v>81</v>
      </c>
      <c r="D36" s="67" t="s">
        <v>41</v>
      </c>
      <c r="E36" s="67" t="s">
        <v>82</v>
      </c>
      <c r="F36" s="67" t="s">
        <v>83</v>
      </c>
      <c r="G36" s="68">
        <v>0</v>
      </c>
      <c r="H36" s="67" t="s">
        <v>52</v>
      </c>
      <c r="I36" s="91"/>
      <c r="J36" s="91"/>
      <c r="K36" s="91"/>
      <c r="L36" s="91"/>
      <c r="M36" s="91"/>
      <c r="N36" s="91"/>
      <c r="O36" s="91"/>
      <c r="P36" s="91"/>
      <c r="Q36" s="91"/>
      <c r="R36" s="92"/>
      <c r="S36" s="92"/>
      <c r="T36" s="92"/>
      <c r="U36" s="92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</row>
    <row r="37" spans="2:32">
      <c r="B37" s="73"/>
      <c r="C37" s="69" t="s">
        <v>84</v>
      </c>
      <c r="D37" s="70"/>
      <c r="E37" s="70"/>
      <c r="F37" s="70"/>
      <c r="G37" s="70"/>
      <c r="H37" s="70"/>
      <c r="I37" s="91"/>
      <c r="J37" s="91"/>
      <c r="K37" s="91"/>
      <c r="L37" s="91"/>
      <c r="M37" s="91"/>
      <c r="N37" s="91"/>
      <c r="O37" s="91"/>
      <c r="P37" s="91"/>
      <c r="Q37" s="91"/>
      <c r="R37" s="92"/>
      <c r="S37" s="92"/>
      <c r="T37" s="92"/>
      <c r="U37" s="92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</row>
    <row r="38" spans="2:32">
      <c r="B38" s="73"/>
      <c r="C38" s="69" t="s">
        <v>85</v>
      </c>
      <c r="D38" s="70"/>
      <c r="E38" s="70"/>
      <c r="F38" s="70"/>
      <c r="G38" s="70"/>
      <c r="H38" s="70"/>
      <c r="I38" s="91"/>
      <c r="J38" s="91"/>
      <c r="K38" s="91"/>
      <c r="L38" s="91"/>
      <c r="M38" s="91"/>
      <c r="N38" s="91"/>
      <c r="O38" s="91"/>
      <c r="P38" s="91"/>
      <c r="Q38" s="91"/>
      <c r="R38" s="92"/>
      <c r="S38" s="92"/>
      <c r="T38" s="92"/>
      <c r="U38" s="92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</row>
    <row r="39" spans="2:32">
      <c r="B39" s="73"/>
      <c r="C39" s="66" t="s">
        <v>86</v>
      </c>
      <c r="D39" s="70"/>
      <c r="E39" s="70"/>
      <c r="F39" s="70"/>
      <c r="G39" s="70"/>
      <c r="H39" s="70"/>
      <c r="I39" s="91"/>
      <c r="J39" s="91"/>
      <c r="K39" s="91"/>
      <c r="L39" s="91"/>
      <c r="M39" s="91"/>
      <c r="N39" s="91"/>
      <c r="O39" s="91"/>
      <c r="P39" s="91"/>
      <c r="Q39" s="91"/>
      <c r="R39" s="92"/>
      <c r="S39" s="92"/>
      <c r="T39" s="92"/>
      <c r="U39" s="92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</row>
    <row r="40" spans="2:32">
      <c r="B40" s="73"/>
      <c r="C40" s="69" t="s">
        <v>87</v>
      </c>
      <c r="D40" s="70"/>
      <c r="E40" s="70"/>
      <c r="F40" s="70"/>
      <c r="G40" s="70"/>
      <c r="H40" s="70"/>
      <c r="I40" s="91"/>
      <c r="J40" s="91"/>
      <c r="K40" s="91"/>
      <c r="L40" s="91"/>
      <c r="M40" s="91"/>
      <c r="N40" s="91"/>
      <c r="O40" s="91"/>
      <c r="P40" s="91"/>
      <c r="Q40" s="91"/>
      <c r="R40" s="92"/>
      <c r="S40" s="92"/>
      <c r="T40" s="92"/>
      <c r="U40" s="92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</row>
    <row r="41" spans="2:32">
      <c r="B41" s="74"/>
      <c r="C41" s="69" t="s">
        <v>88</v>
      </c>
      <c r="D41" s="71"/>
      <c r="E41" s="71"/>
      <c r="F41" s="71"/>
      <c r="G41" s="71"/>
      <c r="H41" s="71"/>
      <c r="I41" s="91"/>
      <c r="J41" s="91"/>
      <c r="K41" s="91"/>
      <c r="L41" s="91"/>
      <c r="M41" s="91"/>
      <c r="N41" s="91"/>
      <c r="O41" s="91"/>
      <c r="P41" s="91"/>
      <c r="Q41" s="91"/>
      <c r="R41" s="92"/>
      <c r="S41" s="92"/>
      <c r="T41" s="92"/>
      <c r="U41" s="92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</row>
    <row r="42" spans="2:32">
      <c r="B42" s="75"/>
      <c r="C42" s="76" t="s">
        <v>89</v>
      </c>
      <c r="D42" s="77"/>
      <c r="E42" s="77"/>
      <c r="F42" s="77"/>
      <c r="G42" s="77"/>
      <c r="H42" s="77"/>
      <c r="I42" s="93"/>
      <c r="J42" s="93"/>
      <c r="K42" s="93"/>
      <c r="L42" s="93"/>
      <c r="M42" s="93"/>
      <c r="N42" s="93"/>
      <c r="O42" s="93"/>
      <c r="P42" s="93"/>
      <c r="Q42" s="93"/>
      <c r="R42" s="95"/>
      <c r="S42" s="95"/>
      <c r="T42" s="95"/>
      <c r="U42" s="95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</row>
    <row r="43" spans="2:32">
      <c r="B43" s="78" t="s">
        <v>90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</row>
    <row r="44" spans="2:32">
      <c r="B44" s="1">
        <v>1</v>
      </c>
      <c r="C44" s="69" t="s">
        <v>91</v>
      </c>
      <c r="D44" s="1" t="s">
        <v>32</v>
      </c>
      <c r="E44" s="1" t="s">
        <v>58</v>
      </c>
      <c r="F44" s="1" t="s">
        <v>92</v>
      </c>
      <c r="G44" s="80"/>
      <c r="H44" s="55" t="s">
        <v>52</v>
      </c>
      <c r="I44" s="91"/>
      <c r="J44" s="91"/>
      <c r="K44" s="91"/>
      <c r="L44" s="91"/>
      <c r="M44" s="92"/>
      <c r="N44" s="92"/>
      <c r="O44" s="92"/>
      <c r="P44" s="92"/>
      <c r="Q44" s="92"/>
      <c r="R44" s="92"/>
      <c r="S44" s="92"/>
      <c r="T44" s="92"/>
      <c r="U44" s="92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</row>
    <row r="45" spans="2:32">
      <c r="B45" s="1">
        <v>2</v>
      </c>
      <c r="C45" s="69" t="s">
        <v>93</v>
      </c>
      <c r="D45" s="1" t="s">
        <v>49</v>
      </c>
      <c r="E45" s="1" t="s">
        <v>94</v>
      </c>
      <c r="F45" s="1" t="s">
        <v>95</v>
      </c>
      <c r="G45" s="80"/>
      <c r="H45" s="55" t="s">
        <v>52</v>
      </c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2"/>
      <c r="W45" s="92"/>
      <c r="X45" s="91"/>
      <c r="Y45" s="91"/>
      <c r="Z45" s="91"/>
      <c r="AA45" s="91"/>
      <c r="AB45" s="91"/>
      <c r="AC45" s="91"/>
      <c r="AD45" s="91"/>
      <c r="AE45" s="91"/>
      <c r="AF45" s="91"/>
    </row>
    <row r="46" spans="2:32">
      <c r="B46" s="1">
        <v>3</v>
      </c>
      <c r="C46" s="69" t="s">
        <v>96</v>
      </c>
      <c r="D46" s="1" t="s">
        <v>32</v>
      </c>
      <c r="E46" s="1" t="s">
        <v>97</v>
      </c>
      <c r="F46" s="1" t="s">
        <v>98</v>
      </c>
      <c r="G46" s="80"/>
      <c r="H46" s="55" t="s">
        <v>52</v>
      </c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2"/>
      <c r="X46" s="91"/>
      <c r="Y46" s="91"/>
      <c r="Z46" s="91"/>
      <c r="AA46" s="91"/>
      <c r="AB46" s="91"/>
      <c r="AC46" s="91"/>
      <c r="AD46" s="91"/>
      <c r="AE46" s="91"/>
      <c r="AF46" s="91"/>
    </row>
    <row r="47" spans="2:32">
      <c r="B47" s="1">
        <v>4</v>
      </c>
      <c r="C47" s="69" t="s">
        <v>99</v>
      </c>
      <c r="D47" s="1" t="s">
        <v>37</v>
      </c>
      <c r="E47" s="1" t="s">
        <v>100</v>
      </c>
      <c r="F47" s="1" t="s">
        <v>101</v>
      </c>
      <c r="G47" s="80"/>
      <c r="H47" s="55" t="s">
        <v>52</v>
      </c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2"/>
      <c r="X47" s="92"/>
      <c r="Y47" s="91"/>
      <c r="Z47" s="91"/>
      <c r="AA47" s="91"/>
      <c r="AB47" s="91"/>
      <c r="AC47" s="91"/>
      <c r="AD47" s="91"/>
      <c r="AE47" s="91"/>
      <c r="AF47" s="91"/>
    </row>
    <row r="48" spans="2:32">
      <c r="B48" s="1">
        <v>5</v>
      </c>
      <c r="C48" s="69" t="s">
        <v>102</v>
      </c>
      <c r="D48" s="1" t="s">
        <v>27</v>
      </c>
      <c r="E48" s="1" t="s">
        <v>58</v>
      </c>
      <c r="F48" s="1" t="s">
        <v>58</v>
      </c>
      <c r="G48" s="80"/>
      <c r="H48" s="55" t="s">
        <v>52</v>
      </c>
      <c r="I48" s="91"/>
      <c r="J48" s="91"/>
      <c r="K48" s="91"/>
      <c r="L48" s="91"/>
      <c r="M48" s="92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</row>
    <row r="49" hidden="1" spans="2:32">
      <c r="B49" s="1">
        <v>5</v>
      </c>
      <c r="C49" s="69" t="s">
        <v>103</v>
      </c>
      <c r="D49" s="1" t="s">
        <v>32</v>
      </c>
      <c r="E49" s="1" t="s">
        <v>104</v>
      </c>
      <c r="F49" s="1" t="s">
        <v>105</v>
      </c>
      <c r="G49" s="80"/>
      <c r="H49" s="55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</row>
    <row r="50" hidden="1" spans="2:32">
      <c r="B50" s="1">
        <v>6</v>
      </c>
      <c r="C50" s="69" t="s">
        <v>106</v>
      </c>
      <c r="D50" s="1" t="s">
        <v>27</v>
      </c>
      <c r="E50" s="1" t="s">
        <v>107</v>
      </c>
      <c r="F50" s="1" t="s">
        <v>107</v>
      </c>
      <c r="G50" s="1"/>
      <c r="H50" s="55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2:32">
      <c r="B51" s="1">
        <v>6</v>
      </c>
      <c r="C51" s="81" t="s">
        <v>108</v>
      </c>
      <c r="D51" s="55" t="s">
        <v>27</v>
      </c>
      <c r="E51" s="55" t="s">
        <v>109</v>
      </c>
      <c r="F51" s="55" t="s">
        <v>109</v>
      </c>
      <c r="G51" s="56"/>
      <c r="H51" s="55" t="s">
        <v>52</v>
      </c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2"/>
      <c r="Z51" s="91"/>
      <c r="AA51" s="91"/>
      <c r="AB51" s="91"/>
      <c r="AC51" s="91"/>
      <c r="AD51" s="91"/>
      <c r="AE51" s="91"/>
      <c r="AF51" s="91"/>
    </row>
    <row r="52" spans="2:32">
      <c r="B52" s="1">
        <v>7</v>
      </c>
      <c r="C52" s="81" t="s">
        <v>110</v>
      </c>
      <c r="D52" s="1" t="s">
        <v>111</v>
      </c>
      <c r="E52" s="55" t="s">
        <v>109</v>
      </c>
      <c r="F52" s="55" t="s">
        <v>112</v>
      </c>
      <c r="G52" s="1"/>
      <c r="H52" s="55" t="s">
        <v>52</v>
      </c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2"/>
      <c r="Z52" s="92"/>
      <c r="AA52" s="92"/>
      <c r="AB52" s="92"/>
      <c r="AC52" s="91"/>
      <c r="AD52" s="91"/>
      <c r="AE52" s="91"/>
      <c r="AF52" s="91"/>
    </row>
  </sheetData>
  <mergeCells count="39">
    <mergeCell ref="E6:F6"/>
    <mergeCell ref="I6:L6"/>
    <mergeCell ref="M6:P6"/>
    <mergeCell ref="Q6:T6"/>
    <mergeCell ref="U6:X6"/>
    <mergeCell ref="Y6:AB6"/>
    <mergeCell ref="AC6:AF6"/>
    <mergeCell ref="B8:H8"/>
    <mergeCell ref="B16:H16"/>
    <mergeCell ref="B43:H43"/>
    <mergeCell ref="B6:B7"/>
    <mergeCell ref="B22:B23"/>
    <mergeCell ref="B24:B29"/>
    <mergeCell ref="B30:B35"/>
    <mergeCell ref="B36:B41"/>
    <mergeCell ref="C6:C7"/>
    <mergeCell ref="D6:D7"/>
    <mergeCell ref="D22:D23"/>
    <mergeCell ref="D24:D29"/>
    <mergeCell ref="D30:D35"/>
    <mergeCell ref="D36:D41"/>
    <mergeCell ref="E22:E23"/>
    <mergeCell ref="E24:E29"/>
    <mergeCell ref="E30:E35"/>
    <mergeCell ref="E36:E41"/>
    <mergeCell ref="F22:F23"/>
    <mergeCell ref="F24:F29"/>
    <mergeCell ref="F30:F35"/>
    <mergeCell ref="F36:F41"/>
    <mergeCell ref="G6:G7"/>
    <mergeCell ref="G22:G23"/>
    <mergeCell ref="G24:G29"/>
    <mergeCell ref="G30:G35"/>
    <mergeCell ref="G36:G41"/>
    <mergeCell ref="H6:H7"/>
    <mergeCell ref="H22:H23"/>
    <mergeCell ref="H24:H29"/>
    <mergeCell ref="H30:H35"/>
    <mergeCell ref="H36:H4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8"/>
  <sheetViews>
    <sheetView showGridLines="0" workbookViewId="0">
      <selection activeCell="F29" sqref="F29"/>
    </sheetView>
  </sheetViews>
  <sheetFormatPr defaultColWidth="9.14545454545454" defaultRowHeight="14.5"/>
  <cols>
    <col min="2" max="2" width="2.14545454545455" customWidth="1"/>
    <col min="3" max="3" width="4.28181818181818" style="20" customWidth="1"/>
    <col min="4" max="4" width="39.1454545454545" customWidth="1"/>
    <col min="5" max="5" width="11" customWidth="1"/>
    <col min="6" max="6" width="14.2818181818182" style="20" customWidth="1"/>
    <col min="7" max="7" width="9.14545454545454" style="20"/>
    <col min="8" max="8" width="11" style="20" customWidth="1"/>
    <col min="9" max="9" width="9.14545454545454" style="20"/>
    <col min="10" max="10" width="36" customWidth="1"/>
  </cols>
  <sheetData>
    <row r="2" ht="15.25"/>
    <row r="3" spans="2:10">
      <c r="B3" s="21"/>
      <c r="C3" s="22"/>
      <c r="D3" s="23"/>
      <c r="E3" s="23"/>
      <c r="F3" s="22"/>
      <c r="G3" s="22"/>
      <c r="H3" s="22"/>
      <c r="I3" s="22"/>
      <c r="J3" s="37"/>
    </row>
    <row r="4" s="19" customFormat="1" spans="2:10">
      <c r="B4" s="24"/>
      <c r="C4" s="19" t="s">
        <v>7</v>
      </c>
      <c r="D4" s="19" t="s">
        <v>8</v>
      </c>
      <c r="E4" s="19" t="s">
        <v>12</v>
      </c>
      <c r="F4" s="19" t="s">
        <v>113</v>
      </c>
      <c r="G4" s="19" t="s">
        <v>114</v>
      </c>
      <c r="H4" s="19" t="s">
        <v>115</v>
      </c>
      <c r="I4" s="19" t="s">
        <v>29</v>
      </c>
      <c r="J4" s="38" t="s">
        <v>116</v>
      </c>
    </row>
    <row r="5" spans="2:10">
      <c r="B5" s="25"/>
      <c r="C5" s="20">
        <v>1</v>
      </c>
      <c r="D5" t="s">
        <v>117</v>
      </c>
      <c r="E5" s="26" t="s">
        <v>29</v>
      </c>
      <c r="F5" s="27">
        <v>0.2</v>
      </c>
      <c r="G5" s="28"/>
      <c r="H5" s="27"/>
      <c r="I5" s="27">
        <v>0.2</v>
      </c>
      <c r="J5" s="39"/>
    </row>
    <row r="6" spans="2:10">
      <c r="B6" s="25"/>
      <c r="C6" s="20">
        <v>2</v>
      </c>
      <c r="D6" t="s">
        <v>118</v>
      </c>
      <c r="E6" s="29"/>
      <c r="F6" s="30"/>
      <c r="G6" s="30"/>
      <c r="H6" s="30"/>
      <c r="I6" s="30"/>
      <c r="J6" s="39"/>
    </row>
    <row r="7" spans="2:10">
      <c r="B7" s="25"/>
      <c r="D7" t="s">
        <v>119</v>
      </c>
      <c r="E7" s="26" t="s">
        <v>52</v>
      </c>
      <c r="F7" s="27">
        <v>0.05</v>
      </c>
      <c r="G7" s="27"/>
      <c r="H7" s="28"/>
      <c r="I7" s="27"/>
      <c r="J7" s="39"/>
    </row>
    <row r="8" spans="2:10">
      <c r="B8" s="25"/>
      <c r="D8" t="s">
        <v>120</v>
      </c>
      <c r="E8" s="26" t="s">
        <v>52</v>
      </c>
      <c r="F8" s="27">
        <v>0.05</v>
      </c>
      <c r="G8" s="27"/>
      <c r="H8" s="27"/>
      <c r="I8" s="27"/>
      <c r="J8" s="39"/>
    </row>
    <row r="9" spans="2:10">
      <c r="B9" s="25"/>
      <c r="D9" t="s">
        <v>121</v>
      </c>
      <c r="E9" s="26" t="s">
        <v>52</v>
      </c>
      <c r="F9" s="27">
        <v>0.15</v>
      </c>
      <c r="G9" s="27"/>
      <c r="H9" s="27"/>
      <c r="I9" s="27"/>
      <c r="J9" s="39"/>
    </row>
    <row r="10" hidden="1" outlineLevel="1" spans="2:10">
      <c r="B10" s="25"/>
      <c r="D10" t="s">
        <v>122</v>
      </c>
      <c r="E10" s="26" t="s">
        <v>52</v>
      </c>
      <c r="F10" s="27"/>
      <c r="G10" s="27"/>
      <c r="H10" s="27"/>
      <c r="I10" s="27"/>
      <c r="J10" s="39"/>
    </row>
    <row r="11" hidden="1" outlineLevel="1" spans="2:10">
      <c r="B11" s="25"/>
      <c r="D11" t="s">
        <v>123</v>
      </c>
      <c r="E11" s="26" t="s">
        <v>52</v>
      </c>
      <c r="F11" s="27"/>
      <c r="G11" s="27"/>
      <c r="H11" s="27"/>
      <c r="I11" s="27"/>
      <c r="J11" s="39"/>
    </row>
    <row r="12" hidden="1" outlineLevel="1" spans="2:10">
      <c r="B12" s="25"/>
      <c r="D12" t="s">
        <v>124</v>
      </c>
      <c r="E12" s="26" t="s">
        <v>52</v>
      </c>
      <c r="F12" s="27"/>
      <c r="G12" s="27"/>
      <c r="H12" s="27"/>
      <c r="I12" s="27"/>
      <c r="J12" s="39"/>
    </row>
    <row r="13" hidden="1" outlineLevel="1" spans="2:10">
      <c r="B13" s="25"/>
      <c r="D13" t="s">
        <v>125</v>
      </c>
      <c r="E13" s="26" t="s">
        <v>52</v>
      </c>
      <c r="F13" s="27"/>
      <c r="G13" s="27"/>
      <c r="H13" s="27"/>
      <c r="I13" s="27"/>
      <c r="J13" s="39"/>
    </row>
    <row r="14" hidden="1" outlineLevel="1" spans="2:10">
      <c r="B14" s="25"/>
      <c r="D14" t="s">
        <v>123</v>
      </c>
      <c r="E14" s="26" t="s">
        <v>52</v>
      </c>
      <c r="F14" s="27"/>
      <c r="G14" s="27"/>
      <c r="H14" s="27"/>
      <c r="I14" s="27"/>
      <c r="J14" s="39"/>
    </row>
    <row r="15" collapsed="1" spans="2:10">
      <c r="B15" s="25"/>
      <c r="D15" t="s">
        <v>126</v>
      </c>
      <c r="E15" s="26" t="s">
        <v>52</v>
      </c>
      <c r="F15" s="27">
        <v>0.15</v>
      </c>
      <c r="G15" s="27"/>
      <c r="H15" s="27"/>
      <c r="I15" s="27"/>
      <c r="J15" s="39"/>
    </row>
    <row r="16" hidden="1" outlineLevel="1" spans="2:10">
      <c r="B16" s="25"/>
      <c r="D16" t="s">
        <v>127</v>
      </c>
      <c r="E16" s="26" t="s">
        <v>52</v>
      </c>
      <c r="F16" s="27"/>
      <c r="G16" s="27"/>
      <c r="H16" s="27"/>
      <c r="I16" s="27"/>
      <c r="J16" s="39"/>
    </row>
    <row r="17" hidden="1" outlineLevel="1" spans="2:10">
      <c r="B17" s="25"/>
      <c r="D17" t="s">
        <v>128</v>
      </c>
      <c r="E17" s="26" t="s">
        <v>52</v>
      </c>
      <c r="F17" s="27"/>
      <c r="G17" s="27"/>
      <c r="H17" s="27"/>
      <c r="I17" s="27"/>
      <c r="J17" s="39"/>
    </row>
    <row r="18" hidden="1" outlineLevel="1" spans="2:10">
      <c r="B18" s="25"/>
      <c r="D18" t="s">
        <v>129</v>
      </c>
      <c r="E18" s="26" t="s">
        <v>52</v>
      </c>
      <c r="F18" s="27"/>
      <c r="G18" s="27"/>
      <c r="H18" s="27"/>
      <c r="I18" s="27"/>
      <c r="J18" s="39"/>
    </row>
    <row r="19" hidden="1" outlineLevel="1" spans="2:10">
      <c r="B19" s="25"/>
      <c r="D19" t="s">
        <v>130</v>
      </c>
      <c r="E19" s="26" t="s">
        <v>52</v>
      </c>
      <c r="F19" s="27"/>
      <c r="G19" s="27"/>
      <c r="H19" s="27"/>
      <c r="I19" s="27"/>
      <c r="J19" s="39"/>
    </row>
    <row r="20" hidden="1" outlineLevel="1" spans="2:10">
      <c r="B20" s="25"/>
      <c r="D20" t="s">
        <v>128</v>
      </c>
      <c r="E20" s="26" t="s">
        <v>52</v>
      </c>
      <c r="F20" s="27"/>
      <c r="G20" s="27"/>
      <c r="H20" s="27"/>
      <c r="I20" s="27"/>
      <c r="J20" s="39"/>
    </row>
    <row r="21" collapsed="1" spans="2:10">
      <c r="B21" s="25"/>
      <c r="D21" t="s">
        <v>131</v>
      </c>
      <c r="E21" s="26" t="s">
        <v>52</v>
      </c>
      <c r="F21" s="27">
        <v>0.15</v>
      </c>
      <c r="G21" s="27"/>
      <c r="H21" s="27"/>
      <c r="I21" s="27"/>
      <c r="J21" s="39"/>
    </row>
    <row r="22" hidden="1" outlineLevel="1" spans="2:10">
      <c r="B22" s="25"/>
      <c r="D22" t="s">
        <v>129</v>
      </c>
      <c r="E22" s="26" t="s">
        <v>52</v>
      </c>
      <c r="F22" s="27"/>
      <c r="G22" s="27"/>
      <c r="H22" s="27"/>
      <c r="I22" s="27"/>
      <c r="J22" s="39"/>
    </row>
    <row r="23" hidden="1" outlineLevel="1" spans="2:10">
      <c r="B23" s="25"/>
      <c r="D23" t="s">
        <v>128</v>
      </c>
      <c r="E23" s="26" t="s">
        <v>52</v>
      </c>
      <c r="F23" s="27"/>
      <c r="G23" s="27"/>
      <c r="H23" s="27"/>
      <c r="I23" s="27"/>
      <c r="J23" s="39"/>
    </row>
    <row r="24" hidden="1" outlineLevel="1" spans="2:10">
      <c r="B24" s="25"/>
      <c r="D24" t="s">
        <v>130</v>
      </c>
      <c r="E24" s="26" t="s">
        <v>52</v>
      </c>
      <c r="F24" s="27"/>
      <c r="G24" s="27"/>
      <c r="H24" s="27"/>
      <c r="I24" s="27"/>
      <c r="J24" s="39"/>
    </row>
    <row r="25" hidden="1" outlineLevel="1" spans="2:10">
      <c r="B25" s="25"/>
      <c r="D25" t="s">
        <v>128</v>
      </c>
      <c r="E25" s="26" t="s">
        <v>52</v>
      </c>
      <c r="F25" s="27"/>
      <c r="G25" s="27"/>
      <c r="H25" s="27"/>
      <c r="I25" s="27"/>
      <c r="J25" s="39"/>
    </row>
    <row r="26" collapsed="1" spans="2:10">
      <c r="B26" s="25"/>
      <c r="D26" t="s">
        <v>132</v>
      </c>
      <c r="E26" s="26" t="s">
        <v>52</v>
      </c>
      <c r="F26" s="27">
        <v>0.05</v>
      </c>
      <c r="G26" s="27"/>
      <c r="H26" s="27"/>
      <c r="I26" s="28"/>
      <c r="J26" s="39"/>
    </row>
    <row r="27" spans="2:10">
      <c r="B27" s="25"/>
      <c r="C27" s="20">
        <v>3</v>
      </c>
      <c r="D27" t="s">
        <v>133</v>
      </c>
      <c r="E27" s="26" t="s">
        <v>52</v>
      </c>
      <c r="F27" s="27">
        <v>0.1</v>
      </c>
      <c r="G27" s="27"/>
      <c r="H27" s="28"/>
      <c r="I27" s="27"/>
      <c r="J27" s="39"/>
    </row>
    <row r="28" spans="2:10">
      <c r="B28" s="25"/>
      <c r="C28" s="20">
        <v>4</v>
      </c>
      <c r="D28" t="s">
        <v>134</v>
      </c>
      <c r="E28" s="26" t="s">
        <v>52</v>
      </c>
      <c r="F28" s="27">
        <v>0.1</v>
      </c>
      <c r="G28" s="27"/>
      <c r="H28" s="28"/>
      <c r="I28" s="28"/>
      <c r="J28" s="39"/>
    </row>
    <row r="29" spans="2:10">
      <c r="B29" s="25"/>
      <c r="E29" s="31" t="s">
        <v>135</v>
      </c>
      <c r="F29" s="31">
        <f>SUM(F5:F28)</f>
        <v>1</v>
      </c>
      <c r="G29" s="31">
        <f>SUM(G5:G28)</f>
        <v>0</v>
      </c>
      <c r="H29" s="31">
        <f>SUM(H5:H28)</f>
        <v>0</v>
      </c>
      <c r="I29" s="31">
        <f>SUM(I5:I28)</f>
        <v>0.2</v>
      </c>
      <c r="J29" s="39"/>
    </row>
    <row r="30" spans="2:10">
      <c r="B30" s="25"/>
      <c r="J30" s="39"/>
    </row>
    <row r="31" ht="15.25" spans="2:10">
      <c r="B31" s="25"/>
      <c r="F31" s="32" t="s">
        <v>136</v>
      </c>
      <c r="G31" s="32"/>
      <c r="H31" s="33">
        <f>I29+H29</f>
        <v>0.2</v>
      </c>
      <c r="J31" s="39"/>
    </row>
    <row r="32" ht="15.25" spans="2:10">
      <c r="B32" s="25"/>
      <c r="J32" s="39"/>
    </row>
    <row r="33" ht="15.25" spans="2:10">
      <c r="B33" s="34"/>
      <c r="C33" s="35"/>
      <c r="D33" s="36"/>
      <c r="E33" s="36"/>
      <c r="F33" s="35"/>
      <c r="G33" s="35"/>
      <c r="H33" s="35"/>
      <c r="I33" s="35"/>
      <c r="J33" s="40"/>
    </row>
    <row r="37" spans="8:8">
      <c r="H37" s="20">
        <f>35+10+42+25</f>
        <v>112</v>
      </c>
    </row>
    <row r="38" spans="8:8">
      <c r="H38" s="20">
        <f>H37/4</f>
        <v>28</v>
      </c>
    </row>
  </sheetData>
  <mergeCells count="1">
    <mergeCell ref="F31:G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2"/>
  <sheetViews>
    <sheetView showGridLines="0" workbookViewId="0">
      <selection activeCell="H22" sqref="H22"/>
    </sheetView>
  </sheetViews>
  <sheetFormatPr defaultColWidth="9.14545454545454" defaultRowHeight="14.5" outlineLevelCol="4"/>
  <sheetData>
    <row r="12" spans="5:5">
      <c r="E12" t="s">
        <v>137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O43"/>
  <sheetViews>
    <sheetView showGridLines="0" zoomScale="70" zoomScaleNormal="70" topLeftCell="A11" workbookViewId="0">
      <selection activeCell="M14" sqref="M14"/>
    </sheetView>
  </sheetViews>
  <sheetFormatPr defaultColWidth="9.14545454545454" defaultRowHeight="14.5"/>
  <cols>
    <col min="4" max="4" width="11.7181818181818" customWidth="1"/>
    <col min="5" max="5" width="16.8545454545455" customWidth="1"/>
    <col min="6" max="6" width="12.4272727272727" customWidth="1"/>
    <col min="7" max="7" width="25.4272727272727" customWidth="1"/>
    <col min="8" max="8" width="21.1454545454545" customWidth="1"/>
    <col min="9" max="9" width="14.1454545454545" customWidth="1"/>
    <col min="10" max="10" width="15.5727272727273" customWidth="1"/>
    <col min="11" max="12" width="14" customWidth="1"/>
    <col min="13" max="13" width="17.1454545454545" customWidth="1"/>
    <col min="14" max="14" width="17.5727272727273" customWidth="1"/>
  </cols>
  <sheetData>
    <row r="5" spans="3:11">
      <c r="C5" s="1" t="s">
        <v>7</v>
      </c>
      <c r="D5" s="1" t="s">
        <v>138</v>
      </c>
      <c r="E5" s="1" t="s">
        <v>139</v>
      </c>
      <c r="F5" s="1" t="s">
        <v>140</v>
      </c>
      <c r="G5" s="1" t="s">
        <v>141</v>
      </c>
      <c r="H5" s="1" t="s">
        <v>142</v>
      </c>
      <c r="I5" s="1" t="s">
        <v>143</v>
      </c>
      <c r="J5" s="1" t="s">
        <v>144</v>
      </c>
      <c r="K5" s="1" t="s">
        <v>12</v>
      </c>
    </row>
    <row r="6" spans="3:11">
      <c r="C6" s="1">
        <v>1</v>
      </c>
      <c r="D6" s="2">
        <v>81170291</v>
      </c>
      <c r="E6" s="2" t="s">
        <v>145</v>
      </c>
      <c r="F6" s="3" t="s">
        <v>146</v>
      </c>
      <c r="G6" s="97" t="s">
        <v>147</v>
      </c>
      <c r="H6" s="2" t="s">
        <v>148</v>
      </c>
      <c r="I6" s="2" t="s">
        <v>149</v>
      </c>
      <c r="J6" s="2" t="s">
        <v>149</v>
      </c>
      <c r="K6" s="2" t="s">
        <v>150</v>
      </c>
    </row>
    <row r="7" spans="3:11">
      <c r="C7" s="1">
        <v>2</v>
      </c>
      <c r="D7" s="2"/>
      <c r="E7" s="2"/>
      <c r="F7" s="2"/>
      <c r="G7" s="2"/>
      <c r="H7" s="2"/>
      <c r="I7" s="2"/>
      <c r="J7" s="2"/>
      <c r="K7" s="2"/>
    </row>
    <row r="8" spans="3:11">
      <c r="C8" s="1">
        <v>3</v>
      </c>
      <c r="D8" s="2"/>
      <c r="E8" s="2"/>
      <c r="F8" s="2"/>
      <c r="G8" s="2"/>
      <c r="H8" s="2"/>
      <c r="I8" s="2"/>
      <c r="J8" s="2"/>
      <c r="K8" s="2"/>
    </row>
    <row r="12" spans="3:3">
      <c r="C12" s="4" t="s">
        <v>151</v>
      </c>
    </row>
    <row r="13" spans="3:11">
      <c r="C13" s="5" t="s">
        <v>7</v>
      </c>
      <c r="D13" s="6" t="s">
        <v>152</v>
      </c>
      <c r="E13" s="6" t="s">
        <v>153</v>
      </c>
      <c r="F13" s="6" t="s">
        <v>154</v>
      </c>
      <c r="G13" s="6" t="s">
        <v>155</v>
      </c>
      <c r="H13" s="7" t="s">
        <v>156</v>
      </c>
      <c r="I13" s="7" t="s">
        <v>157</v>
      </c>
      <c r="J13" s="5" t="s">
        <v>158</v>
      </c>
      <c r="K13" s="5" t="s">
        <v>159</v>
      </c>
    </row>
    <row r="14" spans="3:13">
      <c r="C14" s="8"/>
      <c r="D14" s="9"/>
      <c r="E14" s="9"/>
      <c r="F14" s="9"/>
      <c r="G14" s="10"/>
      <c r="H14" s="11"/>
      <c r="I14" s="11"/>
      <c r="J14" s="8"/>
      <c r="K14" s="8"/>
      <c r="M14" s="98" t="s">
        <v>160</v>
      </c>
    </row>
    <row r="15" spans="3:11">
      <c r="C15" s="1">
        <v>1</v>
      </c>
      <c r="D15" s="2" t="s">
        <v>161</v>
      </c>
      <c r="E15" s="2" t="s">
        <v>162</v>
      </c>
      <c r="F15" s="2" t="s">
        <v>163</v>
      </c>
      <c r="G15" s="12">
        <v>44902</v>
      </c>
      <c r="H15" s="13" t="s">
        <v>164</v>
      </c>
      <c r="I15" s="13">
        <v>9318091.75033923</v>
      </c>
      <c r="J15" s="2" t="s">
        <v>165</v>
      </c>
      <c r="K15" s="2" t="s">
        <v>166</v>
      </c>
    </row>
    <row r="16" spans="3:11">
      <c r="C16" s="1">
        <v>2</v>
      </c>
      <c r="D16" s="2" t="s">
        <v>161</v>
      </c>
      <c r="E16" s="2" t="s">
        <v>162</v>
      </c>
      <c r="F16" s="2" t="s">
        <v>163</v>
      </c>
      <c r="G16" s="12">
        <v>44902</v>
      </c>
      <c r="H16" s="13" t="s">
        <v>164</v>
      </c>
      <c r="I16" s="13">
        <v>9318091.75033923</v>
      </c>
      <c r="J16" s="2" t="s">
        <v>165</v>
      </c>
      <c r="K16" s="2" t="s">
        <v>166</v>
      </c>
    </row>
    <row r="17" spans="3:11">
      <c r="C17" s="1">
        <v>3</v>
      </c>
      <c r="D17" s="2" t="s">
        <v>161</v>
      </c>
      <c r="E17" s="2" t="s">
        <v>167</v>
      </c>
      <c r="F17" s="2" t="s">
        <v>163</v>
      </c>
      <c r="G17" s="12">
        <v>44902</v>
      </c>
      <c r="H17" s="13" t="s">
        <v>168</v>
      </c>
      <c r="I17" s="13">
        <v>106.8296487</v>
      </c>
      <c r="J17" s="2" t="s">
        <v>165</v>
      </c>
      <c r="K17" s="2" t="s">
        <v>166</v>
      </c>
    </row>
    <row r="18" spans="3:3">
      <c r="C18" s="4" t="s">
        <v>169</v>
      </c>
    </row>
    <row r="19" spans="3:15">
      <c r="C19" s="5" t="s">
        <v>7</v>
      </c>
      <c r="D19" s="6" t="s">
        <v>152</v>
      </c>
      <c r="E19" s="6" t="s">
        <v>153</v>
      </c>
      <c r="F19" s="6" t="s">
        <v>154</v>
      </c>
      <c r="G19" s="6" t="s">
        <v>155</v>
      </c>
      <c r="H19" s="7" t="s">
        <v>170</v>
      </c>
      <c r="I19" s="7" t="s">
        <v>171</v>
      </c>
      <c r="J19" s="7" t="s">
        <v>172</v>
      </c>
      <c r="K19" s="17" t="s">
        <v>173</v>
      </c>
      <c r="L19" s="17" t="s">
        <v>174</v>
      </c>
      <c r="M19" s="17" t="s">
        <v>175</v>
      </c>
      <c r="N19" s="17" t="s">
        <v>176</v>
      </c>
      <c r="O19" s="17" t="s">
        <v>177</v>
      </c>
    </row>
    <row r="20" spans="3:15">
      <c r="C20" s="8"/>
      <c r="D20" s="9"/>
      <c r="E20" s="9"/>
      <c r="F20" s="9"/>
      <c r="G20" s="10"/>
      <c r="H20" s="11"/>
      <c r="I20" s="11"/>
      <c r="J20" s="11"/>
      <c r="K20" s="18"/>
      <c r="L20" s="18"/>
      <c r="M20" s="18"/>
      <c r="N20" s="18"/>
      <c r="O20" s="18"/>
    </row>
    <row r="21" spans="3:15">
      <c r="C21" s="1">
        <v>1</v>
      </c>
      <c r="D21" s="2" t="s">
        <v>161</v>
      </c>
      <c r="E21" s="2" t="s">
        <v>178</v>
      </c>
      <c r="F21" s="2" t="s">
        <v>163</v>
      </c>
      <c r="G21" s="12">
        <v>44902</v>
      </c>
      <c r="H21" s="13" t="s">
        <v>179</v>
      </c>
      <c r="I21" s="13" t="s">
        <v>180</v>
      </c>
      <c r="J21" s="2" t="s">
        <v>181</v>
      </c>
      <c r="K21" s="2" t="s">
        <v>182</v>
      </c>
      <c r="L21" s="2" t="s">
        <v>182</v>
      </c>
      <c r="M21" s="97" t="s">
        <v>183</v>
      </c>
      <c r="N21" s="97" t="s">
        <v>183</v>
      </c>
      <c r="O21" s="97" t="s">
        <v>183</v>
      </c>
    </row>
    <row r="22" spans="3:15">
      <c r="C22" s="1">
        <v>2</v>
      </c>
      <c r="D22" s="2" t="s">
        <v>161</v>
      </c>
      <c r="E22" s="2" t="s">
        <v>184</v>
      </c>
      <c r="F22" s="2" t="s">
        <v>163</v>
      </c>
      <c r="G22" s="12">
        <v>44902</v>
      </c>
      <c r="H22" s="13" t="s">
        <v>179</v>
      </c>
      <c r="I22" s="13" t="s">
        <v>180</v>
      </c>
      <c r="J22" s="2" t="s">
        <v>181</v>
      </c>
      <c r="K22" s="2" t="s">
        <v>185</v>
      </c>
      <c r="L22" s="2" t="s">
        <v>185</v>
      </c>
      <c r="M22" s="2" t="s">
        <v>186</v>
      </c>
      <c r="N22" s="2" t="s">
        <v>187</v>
      </c>
      <c r="O22" s="97" t="s">
        <v>183</v>
      </c>
    </row>
    <row r="23" spans="3:15">
      <c r="C23" s="1">
        <v>3</v>
      </c>
      <c r="D23" s="2" t="s">
        <v>161</v>
      </c>
      <c r="E23" s="2" t="s">
        <v>188</v>
      </c>
      <c r="F23" s="2" t="s">
        <v>163</v>
      </c>
      <c r="G23" s="12">
        <v>44902</v>
      </c>
      <c r="H23" s="13" t="s">
        <v>179</v>
      </c>
      <c r="I23" s="13" t="s">
        <v>180</v>
      </c>
      <c r="J23" s="2" t="s">
        <v>181</v>
      </c>
      <c r="K23" s="2" t="s">
        <v>189</v>
      </c>
      <c r="L23" s="2" t="s">
        <v>189</v>
      </c>
      <c r="M23" s="2" t="s">
        <v>186</v>
      </c>
      <c r="N23" s="2" t="s">
        <v>190</v>
      </c>
      <c r="O23" s="2" t="s">
        <v>191</v>
      </c>
    </row>
    <row r="24" spans="3:15">
      <c r="C24" s="1">
        <v>4</v>
      </c>
      <c r="D24" s="2" t="s">
        <v>161</v>
      </c>
      <c r="E24" s="2" t="s">
        <v>192</v>
      </c>
      <c r="F24" s="2" t="s">
        <v>163</v>
      </c>
      <c r="G24" s="12">
        <v>44903</v>
      </c>
      <c r="H24" s="13" t="s">
        <v>179</v>
      </c>
      <c r="I24" s="13" t="s">
        <v>180</v>
      </c>
      <c r="J24" s="2" t="s">
        <v>181</v>
      </c>
      <c r="K24" s="2" t="s">
        <v>193</v>
      </c>
      <c r="L24" s="2" t="s">
        <v>193</v>
      </c>
      <c r="M24" s="97" t="s">
        <v>183</v>
      </c>
      <c r="N24" s="2" t="s">
        <v>192</v>
      </c>
      <c r="O24" s="97" t="s">
        <v>183</v>
      </c>
    </row>
    <row r="25" spans="3:3">
      <c r="C25" s="4" t="s">
        <v>194</v>
      </c>
    </row>
    <row r="26" spans="3:15">
      <c r="C26" s="5" t="s">
        <v>7</v>
      </c>
      <c r="D26" s="6" t="s">
        <v>152</v>
      </c>
      <c r="E26" s="6" t="s">
        <v>153</v>
      </c>
      <c r="F26" s="6" t="s">
        <v>154</v>
      </c>
      <c r="G26" s="14" t="s">
        <v>143</v>
      </c>
      <c r="H26" s="6" t="s">
        <v>155</v>
      </c>
      <c r="I26" s="7" t="s">
        <v>195</v>
      </c>
      <c r="J26" s="17" t="s">
        <v>196</v>
      </c>
      <c r="K26" s="7" t="s">
        <v>197</v>
      </c>
      <c r="L26" s="17" t="s">
        <v>198</v>
      </c>
      <c r="M26" s="17" t="s">
        <v>199</v>
      </c>
      <c r="N26" s="17" t="s">
        <v>200</v>
      </c>
      <c r="O26" s="17" t="s">
        <v>12</v>
      </c>
    </row>
    <row r="27" spans="3:15">
      <c r="C27" s="8"/>
      <c r="D27" s="9"/>
      <c r="E27" s="9"/>
      <c r="F27" s="9"/>
      <c r="G27" s="15"/>
      <c r="H27" s="10"/>
      <c r="I27" s="11"/>
      <c r="J27" s="18"/>
      <c r="K27" s="11"/>
      <c r="L27" s="18"/>
      <c r="M27" s="18"/>
      <c r="N27" s="18"/>
      <c r="O27" s="18"/>
    </row>
    <row r="28" spans="3:15">
      <c r="C28" s="1">
        <v>1</v>
      </c>
      <c r="D28" s="2" t="s">
        <v>161</v>
      </c>
      <c r="E28" s="2" t="s">
        <v>201</v>
      </c>
      <c r="F28" s="2" t="s">
        <v>163</v>
      </c>
      <c r="G28" s="2" t="s">
        <v>202</v>
      </c>
      <c r="H28" s="12">
        <v>44902</v>
      </c>
      <c r="I28" s="13" t="s">
        <v>203</v>
      </c>
      <c r="J28" s="13" t="s">
        <v>180</v>
      </c>
      <c r="K28" s="2" t="s">
        <v>181</v>
      </c>
      <c r="L28" s="2" t="s">
        <v>182</v>
      </c>
      <c r="M28" s="2" t="s">
        <v>182</v>
      </c>
      <c r="N28" s="97" t="s">
        <v>183</v>
      </c>
      <c r="O28" s="2" t="s">
        <v>204</v>
      </c>
    </row>
    <row r="29" spans="3:15">
      <c r="C29" s="1">
        <v>2</v>
      </c>
      <c r="D29" s="2" t="s">
        <v>161</v>
      </c>
      <c r="E29" s="2" t="s">
        <v>201</v>
      </c>
      <c r="F29" s="2" t="s">
        <v>163</v>
      </c>
      <c r="G29" s="2" t="s">
        <v>202</v>
      </c>
      <c r="H29" s="12">
        <v>44902</v>
      </c>
      <c r="I29" s="13" t="s">
        <v>203</v>
      </c>
      <c r="J29" s="13" t="s">
        <v>180</v>
      </c>
      <c r="K29" s="2" t="s">
        <v>181</v>
      </c>
      <c r="L29" s="2" t="s">
        <v>185</v>
      </c>
      <c r="M29" s="2" t="s">
        <v>185</v>
      </c>
      <c r="N29" s="2" t="s">
        <v>186</v>
      </c>
      <c r="O29" s="2" t="s">
        <v>204</v>
      </c>
    </row>
    <row r="30" spans="3:15">
      <c r="C30" s="1">
        <v>3</v>
      </c>
      <c r="D30" s="2" t="s">
        <v>161</v>
      </c>
      <c r="E30" s="2" t="s">
        <v>205</v>
      </c>
      <c r="F30" s="2" t="s">
        <v>163</v>
      </c>
      <c r="G30" s="2" t="s">
        <v>202</v>
      </c>
      <c r="H30" s="12">
        <v>44902</v>
      </c>
      <c r="I30" s="13" t="s">
        <v>203</v>
      </c>
      <c r="J30" s="13" t="s">
        <v>180</v>
      </c>
      <c r="K30" s="2" t="s">
        <v>181</v>
      </c>
      <c r="L30" s="2" t="s">
        <v>189</v>
      </c>
      <c r="M30" s="2" t="s">
        <v>189</v>
      </c>
      <c r="N30" s="2" t="s">
        <v>186</v>
      </c>
      <c r="O30" s="2" t="s">
        <v>206</v>
      </c>
    </row>
    <row r="31" spans="3:15">
      <c r="C31" s="1">
        <v>4</v>
      </c>
      <c r="D31" s="2" t="s">
        <v>161</v>
      </c>
      <c r="E31" s="2" t="s">
        <v>205</v>
      </c>
      <c r="F31" s="2" t="s">
        <v>163</v>
      </c>
      <c r="G31" s="2" t="s">
        <v>202</v>
      </c>
      <c r="H31" s="12">
        <v>44903</v>
      </c>
      <c r="I31" s="13" t="s">
        <v>203</v>
      </c>
      <c r="J31" s="13" t="s">
        <v>180</v>
      </c>
      <c r="K31" s="2" t="s">
        <v>181</v>
      </c>
      <c r="L31" s="2" t="s">
        <v>193</v>
      </c>
      <c r="M31" s="2" t="s">
        <v>193</v>
      </c>
      <c r="N31" s="97" t="s">
        <v>183</v>
      </c>
      <c r="O31" s="2" t="s">
        <v>204</v>
      </c>
    </row>
    <row r="32" spans="3:3">
      <c r="C32" s="4" t="s">
        <v>207</v>
      </c>
    </row>
    <row r="33" spans="3:8">
      <c r="C33" s="5" t="s">
        <v>7</v>
      </c>
      <c r="D33" s="5" t="s">
        <v>208</v>
      </c>
      <c r="E33" s="6" t="s">
        <v>209</v>
      </c>
      <c r="F33" s="6" t="s">
        <v>210</v>
      </c>
      <c r="G33" s="6" t="s">
        <v>211</v>
      </c>
      <c r="H33" s="6" t="s">
        <v>212</v>
      </c>
    </row>
    <row r="34" spans="3:8">
      <c r="C34" s="8"/>
      <c r="D34" s="8"/>
      <c r="E34" s="9"/>
      <c r="F34" s="9"/>
      <c r="G34" s="9"/>
      <c r="H34" s="10"/>
    </row>
    <row r="35" spans="3:8">
      <c r="C35" s="1">
        <v>1</v>
      </c>
      <c r="D35" s="2" t="s">
        <v>182</v>
      </c>
      <c r="E35" s="2" t="s">
        <v>213</v>
      </c>
      <c r="F35" s="2" t="s">
        <v>214</v>
      </c>
      <c r="G35" s="2" t="s">
        <v>215</v>
      </c>
      <c r="H35" s="12" t="s">
        <v>216</v>
      </c>
    </row>
    <row r="36" spans="3:8">
      <c r="C36" s="1">
        <v>2</v>
      </c>
      <c r="D36" s="2" t="s">
        <v>182</v>
      </c>
      <c r="E36" s="2" t="s">
        <v>213</v>
      </c>
      <c r="F36" s="2" t="s">
        <v>217</v>
      </c>
      <c r="G36" s="2" t="s">
        <v>215</v>
      </c>
      <c r="H36" s="12" t="s">
        <v>216</v>
      </c>
    </row>
    <row r="37" spans="3:8">
      <c r="C37" s="1">
        <v>3</v>
      </c>
      <c r="D37" s="2" t="s">
        <v>182</v>
      </c>
      <c r="E37" s="2" t="s">
        <v>213</v>
      </c>
      <c r="F37" s="2" t="s">
        <v>218</v>
      </c>
      <c r="G37" s="2" t="s">
        <v>215</v>
      </c>
      <c r="H37" s="12" t="s">
        <v>216</v>
      </c>
    </row>
    <row r="38" spans="3:3">
      <c r="C38" s="4" t="s">
        <v>219</v>
      </c>
    </row>
    <row r="39" spans="3:7">
      <c r="C39" s="5" t="s">
        <v>7</v>
      </c>
      <c r="D39" s="6" t="s">
        <v>220</v>
      </c>
      <c r="E39" s="14" t="s">
        <v>221</v>
      </c>
      <c r="F39" s="14" t="s">
        <v>222</v>
      </c>
      <c r="G39" s="14" t="s">
        <v>8</v>
      </c>
    </row>
    <row r="40" spans="3:7">
      <c r="C40" s="8"/>
      <c r="D40" s="9"/>
      <c r="E40" s="15"/>
      <c r="F40" s="15"/>
      <c r="G40" s="16"/>
    </row>
    <row r="41" spans="3:7">
      <c r="C41" s="1">
        <v>1</v>
      </c>
      <c r="D41" s="2" t="s">
        <v>182</v>
      </c>
      <c r="E41" s="2" t="s">
        <v>223</v>
      </c>
      <c r="F41" s="2" t="s">
        <v>224</v>
      </c>
      <c r="G41" s="12" t="s">
        <v>225</v>
      </c>
    </row>
    <row r="42" spans="3:7">
      <c r="C42" s="1">
        <v>2</v>
      </c>
      <c r="D42" s="2" t="s">
        <v>182</v>
      </c>
      <c r="E42" s="2" t="s">
        <v>149</v>
      </c>
      <c r="F42" s="2" t="s">
        <v>226</v>
      </c>
      <c r="G42" s="12" t="s">
        <v>225</v>
      </c>
    </row>
    <row r="43" spans="3:7">
      <c r="C43" s="1">
        <v>3</v>
      </c>
      <c r="D43" s="2" t="s">
        <v>182</v>
      </c>
      <c r="E43" s="2" t="s">
        <v>227</v>
      </c>
      <c r="F43" s="2" t="s">
        <v>228</v>
      </c>
      <c r="G43" s="12" t="s">
        <v>225</v>
      </c>
    </row>
  </sheetData>
  <mergeCells count="46">
    <mergeCell ref="C13:C14"/>
    <mergeCell ref="C19:C20"/>
    <mergeCell ref="C26:C27"/>
    <mergeCell ref="C33:C34"/>
    <mergeCell ref="C39:C40"/>
    <mergeCell ref="D13:D14"/>
    <mergeCell ref="D19:D20"/>
    <mergeCell ref="D26:D27"/>
    <mergeCell ref="D33:D34"/>
    <mergeCell ref="D39:D40"/>
    <mergeCell ref="E13:E14"/>
    <mergeCell ref="E19:E20"/>
    <mergeCell ref="E26:E27"/>
    <mergeCell ref="E33:E34"/>
    <mergeCell ref="E39:E40"/>
    <mergeCell ref="F13:F14"/>
    <mergeCell ref="F19:F20"/>
    <mergeCell ref="F26:F27"/>
    <mergeCell ref="F33:F34"/>
    <mergeCell ref="F39:F40"/>
    <mergeCell ref="G13:G14"/>
    <mergeCell ref="G19:G20"/>
    <mergeCell ref="G26:G27"/>
    <mergeCell ref="G33:G34"/>
    <mergeCell ref="G39:G40"/>
    <mergeCell ref="H13:H14"/>
    <mergeCell ref="H19:H20"/>
    <mergeCell ref="H26:H27"/>
    <mergeCell ref="H33:H34"/>
    <mergeCell ref="I13:I14"/>
    <mergeCell ref="I19:I20"/>
    <mergeCell ref="I26:I27"/>
    <mergeCell ref="J13:J14"/>
    <mergeCell ref="J19:J20"/>
    <mergeCell ref="J26:J27"/>
    <mergeCell ref="K13:K14"/>
    <mergeCell ref="K19:K20"/>
    <mergeCell ref="K26:K27"/>
    <mergeCell ref="L19:L20"/>
    <mergeCell ref="L26:L27"/>
    <mergeCell ref="M19:M20"/>
    <mergeCell ref="M26:M27"/>
    <mergeCell ref="N19:N20"/>
    <mergeCell ref="N26:N27"/>
    <mergeCell ref="O19:O20"/>
    <mergeCell ref="O26:O27"/>
  </mergeCells>
  <hyperlinks>
    <hyperlink ref="F6" r:id="rId1" display="Andri.law@acset.co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60" zoomScaleNormal="60" topLeftCell="A8" workbookViewId="0">
      <selection activeCell="S42" sqref="S42"/>
    </sheetView>
  </sheetViews>
  <sheetFormatPr defaultColWidth="9.14545454545454" defaultRowHeight="14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C1" workbookViewId="0">
      <selection activeCell="L1" sqref="L1"/>
    </sheetView>
  </sheetViews>
  <sheetFormatPr defaultColWidth="9.14545454545454" defaultRowHeight="14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PT ACSET INDONUSA, TBK.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Progress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Wijanarko Wijanarko</dc:creator>
  <cp:lastModifiedBy>harihs</cp:lastModifiedBy>
  <dcterms:created xsi:type="dcterms:W3CDTF">2019-04-09T03:37:00Z</dcterms:created>
  <dcterms:modified xsi:type="dcterms:W3CDTF">2023-08-15T07:48:37Z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  <property fmtid="{D5CDD505-2E9C-101B-9397-08002B2CF9AE}" pid="3" name="ICV">
    <vt:lpwstr>577D10EFFB934245B3D6CA9F7A232071</vt:lpwstr>
  </property>
  <property fmtid="{D5CDD505-2E9C-101B-9397-08002B2CF9AE}" pid="4" name="KSOReadingLayout">
    <vt:bool>true</vt:bool>
  </property>
</Properties>
</file>